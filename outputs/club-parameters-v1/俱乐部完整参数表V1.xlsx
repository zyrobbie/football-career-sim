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hihu/Documents/足球生涯游戏/outputs/club-parameters-v1/"/>
    </mc:Choice>
  </mc:AlternateContent>
  <xr:revisionPtr revIDLastSave="0" documentId="13_ncr:1_{64F0FC5F-A5E0-1541-90A7-120E18628457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参数总表" sheetId="1" r:id="rId1"/>
    <sheet name="规则与说明" sheetId="2" r:id="rId2"/>
    <sheet name="联赛汇总" sheetId="3" r:id="rId3"/>
    <sheet name="样板验收" sheetId="4" r:id="rId4"/>
    <sheet name="数据来源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4" l="1"/>
  <c r="H16" i="4"/>
  <c r="G16" i="4"/>
  <c r="F16" i="4"/>
  <c r="E16" i="4"/>
  <c r="D16" i="4"/>
  <c r="C16" i="4"/>
  <c r="B16" i="4"/>
  <c r="K15" i="4"/>
  <c r="H15" i="4"/>
  <c r="G15" i="4"/>
  <c r="F15" i="4"/>
  <c r="E15" i="4"/>
  <c r="D15" i="4"/>
  <c r="C15" i="4"/>
  <c r="B15" i="4"/>
  <c r="K14" i="4"/>
  <c r="H14" i="4"/>
  <c r="G14" i="4"/>
  <c r="F14" i="4"/>
  <c r="E14" i="4"/>
  <c r="D14" i="4"/>
  <c r="C14" i="4"/>
  <c r="B14" i="4"/>
  <c r="K13" i="4"/>
  <c r="H13" i="4"/>
  <c r="G13" i="4"/>
  <c r="F13" i="4"/>
  <c r="E13" i="4"/>
  <c r="D13" i="4"/>
  <c r="C13" i="4"/>
  <c r="B13" i="4"/>
  <c r="K12" i="4"/>
  <c r="H12" i="4"/>
  <c r="G12" i="4"/>
  <c r="F12" i="4"/>
  <c r="E12" i="4"/>
  <c r="D12" i="4"/>
  <c r="C12" i="4"/>
  <c r="B12" i="4"/>
  <c r="K11" i="4"/>
  <c r="H11" i="4"/>
  <c r="G11" i="4"/>
  <c r="F11" i="4"/>
  <c r="E11" i="4"/>
  <c r="D11" i="4"/>
  <c r="C11" i="4"/>
  <c r="B11" i="4"/>
  <c r="K10" i="4"/>
  <c r="H10" i="4"/>
  <c r="G10" i="4"/>
  <c r="F10" i="4"/>
  <c r="E10" i="4"/>
  <c r="B24" i="4" s="1"/>
  <c r="D10" i="4"/>
  <c r="C23" i="4" s="1"/>
  <c r="C10" i="4"/>
  <c r="B10" i="4"/>
  <c r="K9" i="4"/>
  <c r="H9" i="4"/>
  <c r="G9" i="4"/>
  <c r="C25" i="4" s="1"/>
  <c r="F9" i="4"/>
  <c r="E9" i="4"/>
  <c r="C24" i="4" s="1"/>
  <c r="D9" i="4"/>
  <c r="B23" i="4" s="1"/>
  <c r="C9" i="4"/>
  <c r="B9" i="4"/>
  <c r="K8" i="4"/>
  <c r="H8" i="4"/>
  <c r="G8" i="4"/>
  <c r="F8" i="4"/>
  <c r="E8" i="4"/>
  <c r="D8" i="4"/>
  <c r="C8" i="4"/>
  <c r="B8" i="4"/>
  <c r="K7" i="4"/>
  <c r="H7" i="4"/>
  <c r="G7" i="4"/>
  <c r="F7" i="4"/>
  <c r="E7" i="4"/>
  <c r="D7" i="4"/>
  <c r="C7" i="4"/>
  <c r="B7" i="4"/>
  <c r="K6" i="4"/>
  <c r="H6" i="4"/>
  <c r="G6" i="4"/>
  <c r="F6" i="4"/>
  <c r="E6" i="4"/>
  <c r="D6" i="4"/>
  <c r="C6" i="4"/>
  <c r="B6" i="4"/>
  <c r="K5" i="4"/>
  <c r="H5" i="4"/>
  <c r="G5" i="4"/>
  <c r="B25" i="4" s="1"/>
  <c r="F5" i="4"/>
  <c r="E5" i="4"/>
  <c r="D5" i="4"/>
  <c r="C5" i="4"/>
  <c r="B5" i="4"/>
  <c r="J23" i="3"/>
  <c r="I23" i="3"/>
  <c r="H23" i="3"/>
  <c r="G23" i="3"/>
  <c r="F23" i="3"/>
  <c r="E23" i="3"/>
  <c r="D23" i="3"/>
  <c r="C23" i="3"/>
  <c r="J22" i="3"/>
  <c r="I22" i="3"/>
  <c r="H22" i="3"/>
  <c r="G22" i="3"/>
  <c r="F22" i="3"/>
  <c r="E22" i="3"/>
  <c r="D22" i="3"/>
  <c r="C22" i="3"/>
  <c r="J21" i="3"/>
  <c r="I21" i="3"/>
  <c r="H21" i="3"/>
  <c r="G21" i="3"/>
  <c r="F21" i="3"/>
  <c r="E21" i="3"/>
  <c r="D21" i="3"/>
  <c r="C21" i="3"/>
  <c r="J20" i="3"/>
  <c r="I20" i="3"/>
  <c r="H20" i="3"/>
  <c r="G20" i="3"/>
  <c r="F20" i="3"/>
  <c r="E20" i="3"/>
  <c r="D20" i="3"/>
  <c r="C20" i="3"/>
  <c r="J19" i="3"/>
  <c r="I19" i="3"/>
  <c r="H19" i="3"/>
  <c r="G19" i="3"/>
  <c r="F19" i="3"/>
  <c r="E19" i="3"/>
  <c r="D19" i="3"/>
  <c r="C19" i="3"/>
  <c r="J18" i="3"/>
  <c r="I18" i="3"/>
  <c r="H18" i="3"/>
  <c r="G18" i="3"/>
  <c r="F18" i="3"/>
  <c r="E18" i="3"/>
  <c r="D18" i="3"/>
  <c r="C18" i="3"/>
  <c r="J17" i="3"/>
  <c r="I17" i="3"/>
  <c r="H17" i="3"/>
  <c r="G17" i="3"/>
  <c r="F17" i="3"/>
  <c r="E17" i="3"/>
  <c r="D17" i="3"/>
  <c r="C17" i="3"/>
  <c r="J16" i="3"/>
  <c r="I16" i="3"/>
  <c r="H16" i="3"/>
  <c r="G16" i="3"/>
  <c r="F16" i="3"/>
  <c r="E16" i="3"/>
  <c r="D16" i="3"/>
  <c r="C16" i="3"/>
  <c r="J15" i="3"/>
  <c r="I15" i="3"/>
  <c r="H15" i="3"/>
  <c r="G15" i="3"/>
  <c r="F15" i="3"/>
  <c r="E15" i="3"/>
  <c r="D15" i="3"/>
  <c r="C15" i="3"/>
  <c r="J14" i="3"/>
  <c r="I14" i="3"/>
  <c r="H14" i="3"/>
  <c r="G14" i="3"/>
  <c r="F14" i="3"/>
  <c r="E14" i="3"/>
  <c r="D14" i="3"/>
  <c r="C14" i="3"/>
  <c r="J13" i="3"/>
  <c r="I13" i="3"/>
  <c r="H13" i="3"/>
  <c r="G13" i="3"/>
  <c r="F13" i="3"/>
  <c r="E13" i="3"/>
  <c r="D13" i="3"/>
  <c r="C13" i="3"/>
  <c r="J12" i="3"/>
  <c r="I12" i="3"/>
  <c r="H12" i="3"/>
  <c r="G12" i="3"/>
  <c r="F12" i="3"/>
  <c r="E12" i="3"/>
  <c r="D12" i="3"/>
  <c r="C12" i="3"/>
  <c r="J11" i="3"/>
  <c r="I11" i="3"/>
  <c r="H11" i="3"/>
  <c r="G11" i="3"/>
  <c r="F11" i="3"/>
  <c r="E11" i="3"/>
  <c r="D11" i="3"/>
  <c r="C11" i="3"/>
  <c r="J10" i="3"/>
  <c r="I10" i="3"/>
  <c r="H10" i="3"/>
  <c r="G10" i="3"/>
  <c r="F10" i="3"/>
  <c r="E10" i="3"/>
  <c r="D10" i="3"/>
  <c r="C10" i="3"/>
  <c r="J9" i="3"/>
  <c r="I9" i="3"/>
  <c r="H9" i="3"/>
  <c r="G9" i="3"/>
  <c r="F9" i="3"/>
  <c r="E9" i="3"/>
  <c r="D9" i="3"/>
  <c r="C9" i="3"/>
  <c r="J8" i="3"/>
  <c r="I8" i="3"/>
  <c r="H8" i="3"/>
  <c r="G8" i="3"/>
  <c r="F8" i="3"/>
  <c r="E8" i="3"/>
  <c r="D8" i="3"/>
  <c r="C8" i="3"/>
  <c r="J7" i="3"/>
  <c r="I7" i="3"/>
  <c r="H7" i="3"/>
  <c r="G7" i="3"/>
  <c r="F7" i="3"/>
  <c r="E7" i="3"/>
  <c r="D7" i="3"/>
  <c r="C7" i="3"/>
  <c r="J6" i="3"/>
  <c r="I6" i="3"/>
  <c r="H6" i="3"/>
  <c r="G6" i="3"/>
  <c r="F6" i="3"/>
  <c r="E6" i="3"/>
  <c r="D6" i="3"/>
  <c r="C6" i="3"/>
  <c r="J5" i="3"/>
  <c r="I5" i="3"/>
  <c r="H5" i="3"/>
  <c r="G5" i="3"/>
  <c r="F5" i="3"/>
  <c r="E5" i="3"/>
  <c r="D5" i="3"/>
  <c r="C5" i="3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J16" i="4" s="1"/>
  <c r="N355" i="1"/>
  <c r="I16" i="4" s="1"/>
  <c r="C22" i="4" s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J15" i="4" s="1"/>
  <c r="N343" i="1"/>
  <c r="I15" i="4" s="1"/>
  <c r="O342" i="1"/>
  <c r="N342" i="1"/>
  <c r="O341" i="1"/>
  <c r="N341" i="1"/>
  <c r="O340" i="1"/>
  <c r="N340" i="1"/>
  <c r="O339" i="1"/>
  <c r="J14" i="4" s="1"/>
  <c r="N339" i="1"/>
  <c r="I14" i="4" s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J13" i="4" s="1"/>
  <c r="N310" i="1"/>
  <c r="I13" i="4" s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J12" i="4" s="1"/>
  <c r="N264" i="1"/>
  <c r="I12" i="4" s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J9" i="4" s="1"/>
  <c r="N203" i="1"/>
  <c r="I9" i="4" s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J8" i="4" s="1"/>
  <c r="N110" i="1"/>
  <c r="I8" i="4" s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J7" i="4" s="1"/>
  <c r="N98" i="1"/>
  <c r="I7" i="4" s="1"/>
  <c r="O97" i="1"/>
  <c r="J6" i="4" s="1"/>
  <c r="N97" i="1"/>
  <c r="I6" i="4" s="1"/>
  <c r="O96" i="1"/>
  <c r="N96" i="1"/>
  <c r="O95" i="1"/>
  <c r="N95" i="1"/>
  <c r="O94" i="1"/>
  <c r="N94" i="1"/>
  <c r="O93" i="1"/>
  <c r="N93" i="1"/>
  <c r="O92" i="1"/>
  <c r="N92" i="1"/>
  <c r="J5" i="4"/>
  <c r="I5" i="4"/>
  <c r="B21" i="4" s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J11" i="4" s="1"/>
  <c r="N29" i="1"/>
  <c r="I11" i="4" s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J10" i="4" s="1"/>
  <c r="N15" i="1"/>
  <c r="I10" i="4" s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L16" i="4" l="1"/>
  <c r="L7" i="4"/>
  <c r="L12" i="4"/>
  <c r="L6" i="4"/>
  <c r="L11" i="4"/>
  <c r="L5" i="4"/>
  <c r="L10" i="4"/>
  <c r="L15" i="4"/>
  <c r="L9" i="4"/>
  <c r="L14" i="4"/>
  <c r="D24" i="4"/>
  <c r="L8" i="4"/>
  <c r="L13" i="4"/>
  <c r="B22" i="4"/>
  <c r="D22" i="4" s="1"/>
  <c r="C21" i="4"/>
  <c r="D21" i="4" s="1"/>
  <c r="D23" i="4"/>
  <c r="D25" i="4"/>
</calcChain>
</file>

<file path=xl/sharedStrings.xml><?xml version="1.0" encoding="utf-8"?>
<sst xmlns="http://schemas.openxmlformats.org/spreadsheetml/2006/main" count="2815" uniqueCount="944">
  <si>
    <t>俱乐部差异化参数完整表 V1</t>
  </si>
  <si>
    <t>2026/27静态快照 · 366家俱乐部 · 本表为审核数据，尚未接入游戏代码</t>
  </si>
  <si>
    <t>序号</t>
  </si>
  <si>
    <t>club_id</t>
  </si>
  <si>
    <t>国家/地区</t>
  </si>
  <si>
    <t>联赛</t>
  </si>
  <si>
    <t>级别</t>
  </si>
  <si>
    <t>俱乐部</t>
  </si>
  <si>
    <t>平台档</t>
  </si>
  <si>
    <t>设施</t>
  </si>
  <si>
    <t>青训</t>
  </si>
  <si>
    <t>工资</t>
  </si>
  <si>
    <t>曝光</t>
  </si>
  <si>
    <t>一线队门槛</t>
  </si>
  <si>
    <t>年轻球员倾向</t>
  </si>
  <si>
    <t>青年训练质量</t>
  </si>
  <si>
    <t>一线队训练质量</t>
  </si>
  <si>
    <t>特征标签</t>
  </si>
  <si>
    <t>生成方式</t>
  </si>
  <si>
    <t>来源ID</t>
  </si>
  <si>
    <t>eng1_arsenal</t>
  </si>
  <si>
    <t>英格兰</t>
  </si>
  <si>
    <t>Premier League（20）</t>
  </si>
  <si>
    <t>Arsenal</t>
  </si>
  <si>
    <t>顶级设施／精英青训／高工资／高曝光／高门槛</t>
  </si>
  <si>
    <t>人工复核</t>
  </si>
  <si>
    <t>SRC-ENG-PL</t>
  </si>
  <si>
    <t>eng1_chelsea</t>
  </si>
  <si>
    <t>Chelsea</t>
  </si>
  <si>
    <t>eng1_liverpool</t>
  </si>
  <si>
    <t>Liverpool</t>
  </si>
  <si>
    <t>eng1_manchester_city</t>
  </si>
  <si>
    <t>Manchester City</t>
  </si>
  <si>
    <t>eng1_manchester_united</t>
  </si>
  <si>
    <t>Manchester United</t>
  </si>
  <si>
    <t>eng1_aston_villa</t>
  </si>
  <si>
    <t>Aston Villa</t>
  </si>
  <si>
    <t>高工资／高曝光／高门槛</t>
  </si>
  <si>
    <t>规则生成</t>
  </si>
  <si>
    <t>eng1_newcastle_united</t>
  </si>
  <si>
    <t>Newcastle United</t>
  </si>
  <si>
    <t>顶级设施／高工资／高曝光／高门槛</t>
  </si>
  <si>
    <t>eng1_tottenham_hotspur</t>
  </si>
  <si>
    <t>Tottenham Hotspur</t>
  </si>
  <si>
    <t>eng1_afc_bournemouth</t>
  </si>
  <si>
    <t>AFC Bournemouth</t>
  </si>
  <si>
    <t>均衡平台</t>
  </si>
  <si>
    <t>eng1_brentford</t>
  </si>
  <si>
    <t>Brentford</t>
  </si>
  <si>
    <t>eng1_brighton_and_hove_albion</t>
  </si>
  <si>
    <t>Brighton &amp; Hove Albion</t>
  </si>
  <si>
    <t>高工资／高曝光</t>
  </si>
  <si>
    <t>eng1_crystal_palace</t>
  </si>
  <si>
    <t>Crystal Palace</t>
  </si>
  <si>
    <t>eng1_everton</t>
  </si>
  <si>
    <t>Everton</t>
  </si>
  <si>
    <t>高曝光</t>
  </si>
  <si>
    <t>eng1_fulham</t>
  </si>
  <si>
    <t>Fulham</t>
  </si>
  <si>
    <t>eng1_nottingham_forest</t>
  </si>
  <si>
    <t>Nottingham Forest</t>
  </si>
  <si>
    <t>eng1_coventry_city</t>
  </si>
  <si>
    <t>Coventry City</t>
  </si>
  <si>
    <t>eng1_hull_city</t>
  </si>
  <si>
    <t>Hull City</t>
  </si>
  <si>
    <t>eng1_ipswich_town</t>
  </si>
  <si>
    <t>Ipswich Town</t>
  </si>
  <si>
    <t>eng1_leeds_united</t>
  </si>
  <si>
    <t>Leeds United</t>
  </si>
  <si>
    <t>eng1_sunderland</t>
  </si>
  <si>
    <t>Sunderland</t>
  </si>
  <si>
    <t>eng2_burnley</t>
  </si>
  <si>
    <t>EFL Championship（24）</t>
  </si>
  <si>
    <t>Burnley</t>
  </si>
  <si>
    <t>SRC-ENG-EFL</t>
  </si>
  <si>
    <t>eng2_middlesbrough</t>
  </si>
  <si>
    <t>Middlesbrough</t>
  </si>
  <si>
    <t>eng2_sheffield_united</t>
  </si>
  <si>
    <t>Sheffield United</t>
  </si>
  <si>
    <t>eng2_southampton</t>
  </si>
  <si>
    <t>Southampton</t>
  </si>
  <si>
    <t>eng2_west_ham_united</t>
  </si>
  <si>
    <t>West Ham United</t>
  </si>
  <si>
    <t>eng2_wolverhampton_wanderers</t>
  </si>
  <si>
    <t>Wolverhampton Wanderers</t>
  </si>
  <si>
    <t>eng2_birmingham_city</t>
  </si>
  <si>
    <t>Birmingham City</t>
  </si>
  <si>
    <t>eng2_blackburn_rovers</t>
  </si>
  <si>
    <t>Blackburn Rovers</t>
  </si>
  <si>
    <t>eng2_bolton_wanderers</t>
  </si>
  <si>
    <t>Bolton Wanderers</t>
  </si>
  <si>
    <t>低门槛</t>
  </si>
  <si>
    <t>eng2_bristol_city</t>
  </si>
  <si>
    <t>Bristol City</t>
  </si>
  <si>
    <t>eng2_cardiff_city</t>
  </si>
  <si>
    <t>Cardiff City</t>
  </si>
  <si>
    <t>eng2_charlton_athletic</t>
  </si>
  <si>
    <t>Charlton Athletic</t>
  </si>
  <si>
    <t>eng2_derby_county</t>
  </si>
  <si>
    <t>Derby County</t>
  </si>
  <si>
    <t>eng2_lincoln_city</t>
  </si>
  <si>
    <t>Lincoln City</t>
  </si>
  <si>
    <t>eng2_millwall</t>
  </si>
  <si>
    <t>Millwall</t>
  </si>
  <si>
    <t>eng2_norwich_city</t>
  </si>
  <si>
    <t>Norwich City</t>
  </si>
  <si>
    <t>eng2_portsmouth</t>
  </si>
  <si>
    <t>Portsmouth</t>
  </si>
  <si>
    <t>eng2_preston_north_end</t>
  </si>
  <si>
    <t>Preston North End</t>
  </si>
  <si>
    <t>eng2_queens_park_rangers</t>
  </si>
  <si>
    <t>Queens Park Rangers</t>
  </si>
  <si>
    <t>eng2_stoke_city</t>
  </si>
  <si>
    <t>Stoke City</t>
  </si>
  <si>
    <t>eng2_swansea_city</t>
  </si>
  <si>
    <t>Swansea City</t>
  </si>
  <si>
    <t>eng2_watford</t>
  </si>
  <si>
    <t>Watford</t>
  </si>
  <si>
    <t>eng2_west_bromwich_albion</t>
  </si>
  <si>
    <t>West Bromwich Albion</t>
  </si>
  <si>
    <t>eng2_wrexham</t>
  </si>
  <si>
    <t>Wrexham</t>
  </si>
  <si>
    <t>esp1_fc_barcelona</t>
  </si>
  <si>
    <t>西班牙</t>
  </si>
  <si>
    <t>LaLiga EA Sports（20）</t>
  </si>
  <si>
    <t>FC Barcelona</t>
  </si>
  <si>
    <t>顶级设施／精英青训／高工资／高曝光／高门槛／重用新人</t>
  </si>
  <si>
    <t>SRC-ESP-L1</t>
  </si>
  <si>
    <t>esp1_real_madrid</t>
  </si>
  <si>
    <t>Real Madrid</t>
  </si>
  <si>
    <t>esp1_athletic_club</t>
  </si>
  <si>
    <t>Athletic Club</t>
  </si>
  <si>
    <t>精英青训／重用新人</t>
  </si>
  <si>
    <t>esp1_atletico_de_madrid</t>
  </si>
  <si>
    <t>Atlético de Madrid</t>
  </si>
  <si>
    <t>高工资</t>
  </si>
  <si>
    <t>esp1_real_betis</t>
  </si>
  <si>
    <t>Real Betis</t>
  </si>
  <si>
    <t>顶级设施／高曝光</t>
  </si>
  <si>
    <t>esp1_villarreal</t>
  </si>
  <si>
    <t>Villarreal</t>
  </si>
  <si>
    <t>顶级设施</t>
  </si>
  <si>
    <t>esp1_celta_de_vigo</t>
  </si>
  <si>
    <t>Celta de Vigo</t>
  </si>
  <si>
    <t>esp1_espanyol</t>
  </si>
  <si>
    <t>Espanyol</t>
  </si>
  <si>
    <t>esp1_osasuna</t>
  </si>
  <si>
    <t>Osasuna</t>
  </si>
  <si>
    <t>esp1_rayo_vallecano</t>
  </si>
  <si>
    <t>Rayo Vallecano</t>
  </si>
  <si>
    <t>esp1_real_sociedad</t>
  </si>
  <si>
    <t>Real Sociedad</t>
  </si>
  <si>
    <t>esp1_sevilla</t>
  </si>
  <si>
    <t>Sevilla</t>
  </si>
  <si>
    <t>esp1_valencia</t>
  </si>
  <si>
    <t>Valencia</t>
  </si>
  <si>
    <t>esp1_alaves</t>
  </si>
  <si>
    <t>Alavés</t>
  </si>
  <si>
    <t>esp1_deportivo_la_coruna</t>
  </si>
  <si>
    <t>Deportivo La Coruña</t>
  </si>
  <si>
    <t>esp1_elche</t>
  </si>
  <si>
    <t>Elche</t>
  </si>
  <si>
    <t>esp1_getafe</t>
  </si>
  <si>
    <t>Getafe</t>
  </si>
  <si>
    <t>esp1_levante</t>
  </si>
  <si>
    <t>Levante</t>
  </si>
  <si>
    <t>esp1_malaga</t>
  </si>
  <si>
    <t>Málaga</t>
  </si>
  <si>
    <t>esp1_racing_de_santander</t>
  </si>
  <si>
    <t>Racing de Santander</t>
  </si>
  <si>
    <t>esp2_almeria</t>
  </si>
  <si>
    <t>LaLiga Hypermotion（22）</t>
  </si>
  <si>
    <t>Almería</t>
  </si>
  <si>
    <t>SRC-ESP-L2</t>
  </si>
  <si>
    <t>esp2_girona</t>
  </si>
  <si>
    <t>Girona</t>
  </si>
  <si>
    <t>esp2_granada</t>
  </si>
  <si>
    <t>Granada</t>
  </si>
  <si>
    <t>esp2_las_palmas</t>
  </si>
  <si>
    <t>Las Palmas</t>
  </si>
  <si>
    <t>esp2_leganes</t>
  </si>
  <si>
    <t>Leganés</t>
  </si>
  <si>
    <t>esp2_mallorca</t>
  </si>
  <si>
    <t>Mallorca</t>
  </si>
  <si>
    <t>esp2_real_valladolid</t>
  </si>
  <si>
    <t>Real Valladolid</t>
  </si>
  <si>
    <t>esp2_albacete</t>
  </si>
  <si>
    <t>Albacete</t>
  </si>
  <si>
    <t>esp2_burgos</t>
  </si>
  <si>
    <t>Burgos</t>
  </si>
  <si>
    <t>esp2_cadiz</t>
  </si>
  <si>
    <t>Cádiz</t>
  </si>
  <si>
    <t>esp2_castellon</t>
  </si>
  <si>
    <t>Castellón</t>
  </si>
  <si>
    <t>esp2_cordoba</t>
  </si>
  <si>
    <t>Córdoba</t>
  </si>
  <si>
    <t>esp2_eibar</t>
  </si>
  <si>
    <t>Eibar</t>
  </si>
  <si>
    <t>esp2_real_oviedo</t>
  </si>
  <si>
    <t>Real Oviedo</t>
  </si>
  <si>
    <t>esp2_sporting_de_gijon</t>
  </si>
  <si>
    <t>Sporting de Gijón</t>
  </si>
  <si>
    <t>esp2_tenerife</t>
  </si>
  <si>
    <t>Tenerife</t>
  </si>
  <si>
    <t>esp2_ad_ceuta</t>
  </si>
  <si>
    <t>AD Ceuta</t>
  </si>
  <si>
    <t>重用新人／低门槛</t>
  </si>
  <si>
    <t>esp2_andorra</t>
  </si>
  <si>
    <t>Andorra</t>
  </si>
  <si>
    <t>esp2_celta_fortuna</t>
  </si>
  <si>
    <t>Celta Fortuna</t>
  </si>
  <si>
    <t>esp2_eldense</t>
  </si>
  <si>
    <t>Eldense</t>
  </si>
  <si>
    <t>esp2_real_sociedad_b</t>
  </si>
  <si>
    <t>Real Sociedad B</t>
  </si>
  <si>
    <t>esp2_sabadell</t>
  </si>
  <si>
    <t>Sabadell</t>
  </si>
  <si>
    <t>ita1_inter</t>
  </si>
  <si>
    <t>意大利</t>
  </si>
  <si>
    <t>Serie A（20）</t>
  </si>
  <si>
    <t>Inter</t>
  </si>
  <si>
    <t>SRC-ITA-A</t>
  </si>
  <si>
    <t>ita1_ac_milan</t>
  </si>
  <si>
    <t>AC Milan</t>
  </si>
  <si>
    <t>ita1_juventus</t>
  </si>
  <si>
    <t>Juventus</t>
  </si>
  <si>
    <t>ita1_atalanta</t>
  </si>
  <si>
    <t>Atalanta</t>
  </si>
  <si>
    <t>顶级设施／精英青训</t>
  </si>
  <si>
    <t>ita1_napoli</t>
  </si>
  <si>
    <t>Napoli</t>
  </si>
  <si>
    <t>顶级设施／高门槛</t>
  </si>
  <si>
    <t>ita1_roma</t>
  </si>
  <si>
    <t>Roma</t>
  </si>
  <si>
    <t>ita1_como</t>
  </si>
  <si>
    <t>Como</t>
  </si>
  <si>
    <t>ita1_bologna</t>
  </si>
  <si>
    <t>Bologna</t>
  </si>
  <si>
    <t>ita1_fiorentina</t>
  </si>
  <si>
    <t>Fiorentina</t>
  </si>
  <si>
    <t>ita1_lazio</t>
  </si>
  <si>
    <t>Lazio</t>
  </si>
  <si>
    <t>ita1_torino</t>
  </si>
  <si>
    <t>Torino</t>
  </si>
  <si>
    <t>ita1_cagliari</t>
  </si>
  <si>
    <t>Cagliari</t>
  </si>
  <si>
    <t>ita1_frosinone</t>
  </si>
  <si>
    <t>Frosinone</t>
  </si>
  <si>
    <t>ita1_genoa</t>
  </si>
  <si>
    <t>Genoa</t>
  </si>
  <si>
    <t>ita1_lecce</t>
  </si>
  <si>
    <t>Lecce</t>
  </si>
  <si>
    <t>ita1_monza</t>
  </si>
  <si>
    <t>Monza</t>
  </si>
  <si>
    <t>ita1_parma</t>
  </si>
  <si>
    <t>Parma</t>
  </si>
  <si>
    <t>ita1_sassuolo</t>
  </si>
  <si>
    <t>Sassuolo</t>
  </si>
  <si>
    <t>ita1_udinese</t>
  </si>
  <si>
    <t>Udinese</t>
  </si>
  <si>
    <t>ita1_venezia</t>
  </si>
  <si>
    <t>Venezia</t>
  </si>
  <si>
    <t>ita2_cremonese</t>
  </si>
  <si>
    <t>Serie B（20）</t>
  </si>
  <si>
    <t>Cremonese</t>
  </si>
  <si>
    <t>SRC-ITA-B</t>
  </si>
  <si>
    <t>ita2_empoli</t>
  </si>
  <si>
    <t>Empoli</t>
  </si>
  <si>
    <t>ita2_hellas_verona</t>
  </si>
  <si>
    <t>Hellas Verona</t>
  </si>
  <si>
    <t>ita2_palermo</t>
  </si>
  <si>
    <t>Palermo</t>
  </si>
  <si>
    <t>ita2_pisa</t>
  </si>
  <si>
    <t>Pisa</t>
  </si>
  <si>
    <t>ita2_sampdoria</t>
  </si>
  <si>
    <t>Sampdoria</t>
  </si>
  <si>
    <t>ita2_avellino</t>
  </si>
  <si>
    <t>Avellino</t>
  </si>
  <si>
    <t>ita2_catanzaro</t>
  </si>
  <si>
    <t>Catanzaro</t>
  </si>
  <si>
    <t>ita2_cesena</t>
  </si>
  <si>
    <t>Cesena</t>
  </si>
  <si>
    <t>ita2_juve_stabia</t>
  </si>
  <si>
    <t>Juve Stabia</t>
  </si>
  <si>
    <t>ita2_l_r_vicenza</t>
  </si>
  <si>
    <t>L.R. Vicenza</t>
  </si>
  <si>
    <t>ita2_mantova</t>
  </si>
  <si>
    <t>Mantova</t>
  </si>
  <si>
    <t>ita2_modena</t>
  </si>
  <si>
    <t>Modena</t>
  </si>
  <si>
    <t>ita2_padova</t>
  </si>
  <si>
    <t>Padova</t>
  </si>
  <si>
    <t>ita2_sudtirol</t>
  </si>
  <si>
    <t>Südtirol</t>
  </si>
  <si>
    <t>ita2_arezzo</t>
  </si>
  <si>
    <t>Arezzo</t>
  </si>
  <si>
    <t>ita2_ascoli</t>
  </si>
  <si>
    <t>Ascoli</t>
  </si>
  <si>
    <t>ita2_benevento</t>
  </si>
  <si>
    <t>Benevento</t>
  </si>
  <si>
    <t>ita2_carrarese</t>
  </si>
  <si>
    <t>Carrarese</t>
  </si>
  <si>
    <t>ita2_virtus_entella</t>
  </si>
  <si>
    <t>Virtus Entella</t>
  </si>
  <si>
    <t>ger1_bayern_munchen</t>
  </si>
  <si>
    <t>德国</t>
  </si>
  <si>
    <t>Bundesliga（18）</t>
  </si>
  <si>
    <t>Bayern München</t>
  </si>
  <si>
    <t>SRC-GER-1</t>
  </si>
  <si>
    <t>ger1_bayer_leverkusen</t>
  </si>
  <si>
    <t>Bayer Leverkusen</t>
  </si>
  <si>
    <t>顶级设施／精英青训／高曝光</t>
  </si>
  <si>
    <t>ger1_borussia_dortmund</t>
  </si>
  <si>
    <t>Borussia Dortmund</t>
  </si>
  <si>
    <t>精英青训／高曝光／高门槛／重用新人</t>
  </si>
  <si>
    <t>ger1_eintracht_frankfurt</t>
  </si>
  <si>
    <t>Eintracht Frankfurt</t>
  </si>
  <si>
    <t>高曝光／高门槛</t>
  </si>
  <si>
    <t>ger1_rb_leipzig</t>
  </si>
  <si>
    <t>RB Leipzig</t>
  </si>
  <si>
    <t>ger1_borussia_monchengladbach</t>
  </si>
  <si>
    <t>Borussia Mönchengladbach</t>
  </si>
  <si>
    <t>ger1_freiburg</t>
  </si>
  <si>
    <t>Freiburg</t>
  </si>
  <si>
    <t>ger1_hoffenheim</t>
  </si>
  <si>
    <t>Hoffenheim</t>
  </si>
  <si>
    <t>ger1_stuttgart</t>
  </si>
  <si>
    <t>Stuttgart</t>
  </si>
  <si>
    <t>ger1_augsburg</t>
  </si>
  <si>
    <t>Augsburg</t>
  </si>
  <si>
    <t>ger1_elversberg</t>
  </si>
  <si>
    <t>Elversberg</t>
  </si>
  <si>
    <t>ger1_hamburg</t>
  </si>
  <si>
    <t>Hamburg</t>
  </si>
  <si>
    <t>ger1_koln</t>
  </si>
  <si>
    <t>Köln</t>
  </si>
  <si>
    <t>ger1_mainz_05</t>
  </si>
  <si>
    <t>Mainz 05</t>
  </si>
  <si>
    <t>ger1_paderborn</t>
  </si>
  <si>
    <t>Paderborn</t>
  </si>
  <si>
    <t>ger1_schalke_04</t>
  </si>
  <si>
    <t>Schalke 04</t>
  </si>
  <si>
    <t>ger1_union_berlin</t>
  </si>
  <si>
    <t>Union Berlin</t>
  </si>
  <si>
    <t>ger1_werder_bremen</t>
  </si>
  <si>
    <t>Werder Bremen</t>
  </si>
  <si>
    <t>ger2_bochum</t>
  </si>
  <si>
    <t>2. Bundesliga（18）</t>
  </si>
  <si>
    <t>Bochum</t>
  </si>
  <si>
    <t>SRC-GER-2</t>
  </si>
  <si>
    <t>ger2_hertha_bsc</t>
  </si>
  <si>
    <t>Hertha BSC</t>
  </si>
  <si>
    <t>ger2_st_pauli</t>
  </si>
  <si>
    <t>St. Pauli</t>
  </si>
  <si>
    <t>ger2_wolfsburg</t>
  </si>
  <si>
    <t>Wolfsburg</t>
  </si>
  <si>
    <t>ger2_arminia_bielefeld</t>
  </si>
  <si>
    <t>Arminia Bielefeld</t>
  </si>
  <si>
    <t>ger2_braunschweig</t>
  </si>
  <si>
    <t>Braunschweig</t>
  </si>
  <si>
    <t>ger2_darmstadt_98</t>
  </si>
  <si>
    <t>Darmstadt 98</t>
  </si>
  <si>
    <t>ger2_dynamo_dresden</t>
  </si>
  <si>
    <t>Dynamo Dresden</t>
  </si>
  <si>
    <t>ger2_greuther_furth</t>
  </si>
  <si>
    <t>Greuther Fürth</t>
  </si>
  <si>
    <t>ger2_hannover_96</t>
  </si>
  <si>
    <t>Hannover 96</t>
  </si>
  <si>
    <t>ger2_heidenheim</t>
  </si>
  <si>
    <t>Heidenheim</t>
  </si>
  <si>
    <t>ger2_holstein_kiel</t>
  </si>
  <si>
    <t>Holstein Kiel</t>
  </si>
  <si>
    <t>ger2_kaiserslautern</t>
  </si>
  <si>
    <t>Kaiserslautern</t>
  </si>
  <si>
    <t>ger2_karlsruher_sc</t>
  </si>
  <si>
    <t>Karlsruher SC</t>
  </si>
  <si>
    <t>ger2_magdeburg</t>
  </si>
  <si>
    <t>Magdeburg</t>
  </si>
  <si>
    <t>ger2_nurnberg</t>
  </si>
  <si>
    <t>Nürnberg</t>
  </si>
  <si>
    <t>ger2_energie_cottbus</t>
  </si>
  <si>
    <t>Energie Cottbus</t>
  </si>
  <si>
    <t>ger2_osnabruck</t>
  </si>
  <si>
    <t>Osnabrück</t>
  </si>
  <si>
    <t>fra1_paris_saint_germain</t>
  </si>
  <si>
    <t>法国</t>
  </si>
  <si>
    <t>Ligue 1（18）</t>
  </si>
  <si>
    <t>Paris Saint-Germain</t>
  </si>
  <si>
    <t>SRC-FRA-1</t>
  </si>
  <si>
    <t>fra1_as_monaco</t>
  </si>
  <si>
    <t>AS Monaco</t>
  </si>
  <si>
    <t>fra1_marseille</t>
  </si>
  <si>
    <t>Marseille</t>
  </si>
  <si>
    <t>顶级设施／高工资</t>
  </si>
  <si>
    <t>fra1_olympique_lyonnais</t>
  </si>
  <si>
    <t>Olympique Lyonnais</t>
  </si>
  <si>
    <t>顶级设施／精英青训／高曝光／重用新人</t>
  </si>
  <si>
    <t>fra1_brest</t>
  </si>
  <si>
    <t>Brest</t>
  </si>
  <si>
    <t>fra1_lens</t>
  </si>
  <si>
    <t>Lens</t>
  </si>
  <si>
    <t>fra1_lille</t>
  </si>
  <si>
    <t>Lille</t>
  </si>
  <si>
    <t>精英青训</t>
  </si>
  <si>
    <t>fra1_nice</t>
  </si>
  <si>
    <t>Nice</t>
  </si>
  <si>
    <t>fra1_rennes</t>
  </si>
  <si>
    <t>Rennes</t>
  </si>
  <si>
    <t>fra1_strasbourg</t>
  </si>
  <si>
    <t>Strasbourg</t>
  </si>
  <si>
    <t>重用新人</t>
  </si>
  <si>
    <t>fra1_angers</t>
  </si>
  <si>
    <t>Angers</t>
  </si>
  <si>
    <t>fra1_auxerre</t>
  </si>
  <si>
    <t>Auxerre</t>
  </si>
  <si>
    <t>fra1_le_havre</t>
  </si>
  <si>
    <t>Le Havre</t>
  </si>
  <si>
    <t>fra1_le_mans</t>
  </si>
  <si>
    <t>Le Mans</t>
  </si>
  <si>
    <t>fra1_lorient</t>
  </si>
  <si>
    <t>Lorient</t>
  </si>
  <si>
    <t>fra1_paris_fc</t>
  </si>
  <si>
    <t>Paris FC</t>
  </si>
  <si>
    <t>fra1_toulouse</t>
  </si>
  <si>
    <t>Toulouse</t>
  </si>
  <si>
    <t>fra1_troyes</t>
  </si>
  <si>
    <t>Troyes</t>
  </si>
  <si>
    <t>fra2_metz</t>
  </si>
  <si>
    <t>Ligue 2（18）</t>
  </si>
  <si>
    <t>Metz</t>
  </si>
  <si>
    <t>SRC-FRA-2</t>
  </si>
  <si>
    <t>fra2_montpellier</t>
  </si>
  <si>
    <t>Montpellier</t>
  </si>
  <si>
    <t>fra2_nantes</t>
  </si>
  <si>
    <t>Nantes</t>
  </si>
  <si>
    <t>fra2_reims</t>
  </si>
  <si>
    <t>Reims</t>
  </si>
  <si>
    <t>fra2_saint_etienne</t>
  </si>
  <si>
    <t>Saint-Étienne</t>
  </si>
  <si>
    <t>fra2_annecy</t>
  </si>
  <si>
    <t>Annecy</t>
  </si>
  <si>
    <t>fra2_clermont_foot</t>
  </si>
  <si>
    <t>Clermont Foot</t>
  </si>
  <si>
    <t>fra2_dunkerque</t>
  </si>
  <si>
    <t>Dunkerque</t>
  </si>
  <si>
    <t>fra2_grenoble</t>
  </si>
  <si>
    <t>Grenoble</t>
  </si>
  <si>
    <t>fra2_guingamp</t>
  </si>
  <si>
    <t>Guingamp</t>
  </si>
  <si>
    <t>fra2_laval</t>
  </si>
  <si>
    <t>Laval</t>
  </si>
  <si>
    <t>fra2_nancy</t>
  </si>
  <si>
    <t>Nancy</t>
  </si>
  <si>
    <t>fra2_pau</t>
  </si>
  <si>
    <t>Pau</t>
  </si>
  <si>
    <t>fra2_red_star</t>
  </si>
  <si>
    <t>Red Star</t>
  </si>
  <si>
    <t>fra2_rodez</t>
  </si>
  <si>
    <t>Rodez</t>
  </si>
  <si>
    <t>fra2_sochaux</t>
  </si>
  <si>
    <t>Sochaux</t>
  </si>
  <si>
    <t>fra2_boulogne</t>
  </si>
  <si>
    <t>Boulogne</t>
  </si>
  <si>
    <t>fra2_dijon</t>
  </si>
  <si>
    <t>Dijon</t>
  </si>
  <si>
    <t>ned1_ajax</t>
  </si>
  <si>
    <t>荷兰</t>
  </si>
  <si>
    <t>Eredivisie（18）</t>
  </si>
  <si>
    <t>Ajax</t>
  </si>
  <si>
    <t>顶级设施／精英青训／重用新人</t>
  </si>
  <si>
    <t>SRC-NED</t>
  </si>
  <si>
    <t>ned1_feyenoord</t>
  </si>
  <si>
    <t>Feyenoord</t>
  </si>
  <si>
    <t>ned1_psv</t>
  </si>
  <si>
    <t>PSV</t>
  </si>
  <si>
    <t>ned1_az</t>
  </si>
  <si>
    <t>AZ</t>
  </si>
  <si>
    <t>ned1_nec</t>
  </si>
  <si>
    <t>NEC</t>
  </si>
  <si>
    <t>ned1_twente</t>
  </si>
  <si>
    <t>Twente</t>
  </si>
  <si>
    <t>ned1_utrecht</t>
  </si>
  <si>
    <t>Utrecht</t>
  </si>
  <si>
    <t>ned1_ado_den_haag</t>
  </si>
  <si>
    <t>ADO Den Haag</t>
  </si>
  <si>
    <t>ned1_cambuur</t>
  </si>
  <si>
    <t>Cambuur</t>
  </si>
  <si>
    <t>ned1_excelsior</t>
  </si>
  <si>
    <t>Excelsior</t>
  </si>
  <si>
    <t>ned1_fortuna_sittard</t>
  </si>
  <si>
    <t>Fortuna Sittard</t>
  </si>
  <si>
    <t>ned1_go_ahead_eagles</t>
  </si>
  <si>
    <t>Go Ahead Eagles</t>
  </si>
  <si>
    <t>ned1_groningen</t>
  </si>
  <si>
    <t>Groningen</t>
  </si>
  <si>
    <t>ned1_heerenveen</t>
  </si>
  <si>
    <t>Heerenveen</t>
  </si>
  <si>
    <t>ned1_pec_zwolle</t>
  </si>
  <si>
    <t>PEC Zwolle</t>
  </si>
  <si>
    <t>ned1_sparta_rotterdam</t>
  </si>
  <si>
    <t>Sparta Rotterdam</t>
  </si>
  <si>
    <t>ned1_telstar</t>
  </si>
  <si>
    <t>Telstar</t>
  </si>
  <si>
    <t>ned1_willem_ii</t>
  </si>
  <si>
    <t>Willem II</t>
  </si>
  <si>
    <t>por1_benfica</t>
  </si>
  <si>
    <t>葡萄牙</t>
  </si>
  <si>
    <t>Liga Portugal（18）</t>
  </si>
  <si>
    <t>Benfica</t>
  </si>
  <si>
    <t>SRC-POR</t>
  </si>
  <si>
    <t>por1_fc_porto</t>
  </si>
  <si>
    <t>FC Porto</t>
  </si>
  <si>
    <t>por1_sporting_cp</t>
  </si>
  <si>
    <t>Sporting CP</t>
  </si>
  <si>
    <t>por1_braga</t>
  </si>
  <si>
    <t>Braga</t>
  </si>
  <si>
    <t>por1_famalicao</t>
  </si>
  <si>
    <t>Famalicão</t>
  </si>
  <si>
    <t>por1_vitoria_sc</t>
  </si>
  <si>
    <t>Vitória SC</t>
  </si>
  <si>
    <t>por1_academico_de_viseu</t>
  </si>
  <si>
    <t>Académico de Viseu</t>
  </si>
  <si>
    <t>por1_alverca</t>
  </si>
  <si>
    <t>Alverca</t>
  </si>
  <si>
    <t>por1_arouca</t>
  </si>
  <si>
    <t>Arouca</t>
  </si>
  <si>
    <t>por1_casa_pia</t>
  </si>
  <si>
    <t>Casa Pia</t>
  </si>
  <si>
    <t>por1_estoril_praia</t>
  </si>
  <si>
    <t>Estoril Praia</t>
  </si>
  <si>
    <t>por1_estrela_da_amadora</t>
  </si>
  <si>
    <t>Estrela da Amadora</t>
  </si>
  <si>
    <t>por1_gil_vicente</t>
  </si>
  <si>
    <t>Gil Vicente</t>
  </si>
  <si>
    <t>por1_maritimo</t>
  </si>
  <si>
    <t>Marítimo</t>
  </si>
  <si>
    <t>por1_moreirense</t>
  </si>
  <si>
    <t>Moreirense</t>
  </si>
  <si>
    <t>por1_nacional</t>
  </si>
  <si>
    <t>Nacional</t>
  </si>
  <si>
    <t>por1_rio_ave</t>
  </si>
  <si>
    <t>Rio Ave</t>
  </si>
  <si>
    <t>por1_santa_clara</t>
  </si>
  <si>
    <t>Santa Clara</t>
  </si>
  <si>
    <t>bel1_anderlecht</t>
  </si>
  <si>
    <t>比利时</t>
  </si>
  <si>
    <t>Belgian Pro League（18）</t>
  </si>
  <si>
    <t>Anderlecht</t>
  </si>
  <si>
    <t>SRC-BEL</t>
  </si>
  <si>
    <t>bel1_club_brugge</t>
  </si>
  <si>
    <t>Club Brugge</t>
  </si>
  <si>
    <t>bel1_union_saint_gilloise</t>
  </si>
  <si>
    <t>Union Saint-Gilloise</t>
  </si>
  <si>
    <t>bel1_antwerp</t>
  </si>
  <si>
    <t>Antwerp</t>
  </si>
  <si>
    <t>bel1_genk</t>
  </si>
  <si>
    <t>Genk</t>
  </si>
  <si>
    <t>bel1_gent</t>
  </si>
  <si>
    <t>Gent</t>
  </si>
  <si>
    <t>bel1_cercle_brugge</t>
  </si>
  <si>
    <t>Cercle Brugge</t>
  </si>
  <si>
    <t>bel1_charleroi</t>
  </si>
  <si>
    <t>Charleroi</t>
  </si>
  <si>
    <t>bel1_kortrijk</t>
  </si>
  <si>
    <t>Kortrijk</t>
  </si>
  <si>
    <t>bel1_la_louviere</t>
  </si>
  <si>
    <t>La Louvière</t>
  </si>
  <si>
    <t>bel1_lommel</t>
  </si>
  <si>
    <t>Lommel</t>
  </si>
  <si>
    <t>bel1_mechelen</t>
  </si>
  <si>
    <t>Mechelen</t>
  </si>
  <si>
    <t>bel1_oh_leuven</t>
  </si>
  <si>
    <t>OH Leuven</t>
  </si>
  <si>
    <t>bel1_sint_truiden</t>
  </si>
  <si>
    <t>Sint-Truiden</t>
  </si>
  <si>
    <t>bel1_standard_liege</t>
  </si>
  <si>
    <t>Standard Liège</t>
  </si>
  <si>
    <t>bel1_waasland_beveren</t>
  </si>
  <si>
    <t>Waasland-Beveren</t>
  </si>
  <si>
    <t>bel1_westerlo</t>
  </si>
  <si>
    <t>Westerlo</t>
  </si>
  <si>
    <t>bel1_zulte_waregem</t>
  </si>
  <si>
    <t>Zulte Waregem</t>
  </si>
  <si>
    <t>jpn1_cerezo_osaka</t>
  </si>
  <si>
    <t>日本</t>
  </si>
  <si>
    <t>J1 League（20）</t>
  </si>
  <si>
    <t>Cerezo Osaka</t>
  </si>
  <si>
    <t>SRC-JPN</t>
  </si>
  <si>
    <t>jpn1_gamba_osaka</t>
  </si>
  <si>
    <t>Gamba Osaka</t>
  </si>
  <si>
    <t>jpn1_kashima_antlers</t>
  </si>
  <si>
    <t>Kashima Antlers</t>
  </si>
  <si>
    <t>jpn1_kashiwa_reysol</t>
  </si>
  <si>
    <t>Kashiwa Reysol</t>
  </si>
  <si>
    <t>jpn1_kawasaki_frontale</t>
  </si>
  <si>
    <t>Kawasaki Frontale</t>
  </si>
  <si>
    <t>jpn1_nagoya_grampus</t>
  </si>
  <si>
    <t>Nagoya Grampus</t>
  </si>
  <si>
    <t>jpn1_sanfrecce_hiroshima</t>
  </si>
  <si>
    <t>Sanfrecce Hiroshima</t>
  </si>
  <si>
    <t>jpn1_urawa_red_diamonds</t>
  </si>
  <si>
    <t>Urawa Red Diamonds</t>
  </si>
  <si>
    <t>jpn1_vissel_kobe</t>
  </si>
  <si>
    <t>Vissel Kobe</t>
  </si>
  <si>
    <t>jpn1_yokohama_f_marinos</t>
  </si>
  <si>
    <t>Yokohama F. Marinos</t>
  </si>
  <si>
    <t>jpn1_avispa_fukuoka</t>
  </si>
  <si>
    <t>Avispa Fukuoka</t>
  </si>
  <si>
    <t>jpn1_fc_tokyo</t>
  </si>
  <si>
    <t>FC Tokyo</t>
  </si>
  <si>
    <t>jpn1_fagiano_okayama</t>
  </si>
  <si>
    <t>Fagiano Okayama</t>
  </si>
  <si>
    <t>jpn1_jef_united_chiba</t>
  </si>
  <si>
    <t>JEF United Chiba</t>
  </si>
  <si>
    <t>jpn1_kyoto_sanga</t>
  </si>
  <si>
    <t>Kyoto Sanga</t>
  </si>
  <si>
    <t>jpn1_machida_zelvia</t>
  </si>
  <si>
    <t>Machida Zelvia</t>
  </si>
  <si>
    <t>jpn1_mito_hollyhock</t>
  </si>
  <si>
    <t>Mito HollyHock</t>
  </si>
  <si>
    <t>jpn1_shimizu_s_pulse</t>
  </si>
  <si>
    <t>Shimizu S-Pulse</t>
  </si>
  <si>
    <t>jpn1_tokyo_verdy</t>
  </si>
  <si>
    <t>Tokyo Verdy</t>
  </si>
  <si>
    <t>jpn1_v_varen_nagasaki</t>
  </si>
  <si>
    <t>V-Varen Nagasaki</t>
  </si>
  <si>
    <t>kor1_fc_seoul</t>
  </si>
  <si>
    <t>韩国</t>
  </si>
  <si>
    <t>K League 1（12）</t>
  </si>
  <si>
    <t>FC Seoul</t>
  </si>
  <si>
    <t>SRC-KOR</t>
  </si>
  <si>
    <t>kor1_jeonbuk_hyundai_motors</t>
  </si>
  <si>
    <t>Jeonbuk Hyundai Motors</t>
  </si>
  <si>
    <t>kor1_pohang_steelers</t>
  </si>
  <si>
    <t>Pohang Steelers</t>
  </si>
  <si>
    <t>kor1_ulsan_hd</t>
  </si>
  <si>
    <t>Ulsan HD</t>
  </si>
  <si>
    <t>kor1_bucheon_fc_1995</t>
  </si>
  <si>
    <t>Bucheon FC 1995</t>
  </si>
  <si>
    <t>kor1_daejeon_hana_citizen</t>
  </si>
  <si>
    <t>Daejeon Hana Citizen</t>
  </si>
  <si>
    <t>kor1_fc_anyang</t>
  </si>
  <si>
    <t>FC Anyang</t>
  </si>
  <si>
    <t>kor1_gangwon_fc</t>
  </si>
  <si>
    <t>Gangwon FC</t>
  </si>
  <si>
    <t>kor1_gimcheon_sangmu</t>
  </si>
  <si>
    <t>Gimcheon Sangmu</t>
  </si>
  <si>
    <t>kor1_gwangju_fc</t>
  </si>
  <si>
    <t>Gwangju FC</t>
  </si>
  <si>
    <t>kor1_incheon_united</t>
  </si>
  <si>
    <t>Incheon United</t>
  </si>
  <si>
    <t>kor1_jeju_sk</t>
  </si>
  <si>
    <t>Jeju SK</t>
  </si>
  <si>
    <t>bra1_flamengo</t>
  </si>
  <si>
    <t>巴西</t>
  </si>
  <si>
    <t>Campeonato Brasileiro Série A（20）</t>
  </si>
  <si>
    <t>Flamengo</t>
  </si>
  <si>
    <t>SRC-BRA</t>
  </si>
  <si>
    <t>bra1_palmeiras</t>
  </si>
  <si>
    <t>Palmeiras</t>
  </si>
  <si>
    <t>bra1_atletico_mineiro</t>
  </si>
  <si>
    <t>Atlético Mineiro</t>
  </si>
  <si>
    <t>bra1_botafogo</t>
  </si>
  <si>
    <t>Botafogo</t>
  </si>
  <si>
    <t>bra1_corinthians</t>
  </si>
  <si>
    <t>Corinthians</t>
  </si>
  <si>
    <t>bra1_cruzeiro</t>
  </si>
  <si>
    <t>Cruzeiro</t>
  </si>
  <si>
    <t>bra1_fluminense</t>
  </si>
  <si>
    <t>Fluminense</t>
  </si>
  <si>
    <t>bra1_gremio</t>
  </si>
  <si>
    <t>Grêmio</t>
  </si>
  <si>
    <t>bra1_internacional</t>
  </si>
  <si>
    <t>Internacional</t>
  </si>
  <si>
    <t>bra1_santos</t>
  </si>
  <si>
    <t>Santos</t>
  </si>
  <si>
    <t>bra1_sao_paulo</t>
  </si>
  <si>
    <t>São Paulo</t>
  </si>
  <si>
    <t>bra1_vasco_da_gama</t>
  </si>
  <si>
    <t>Vasco da Gama</t>
  </si>
  <si>
    <t>bra1_athletico_paranaense</t>
  </si>
  <si>
    <t>Athletico Paranaense</t>
  </si>
  <si>
    <t>bra1_bahia</t>
  </si>
  <si>
    <t>Bahia</t>
  </si>
  <si>
    <t>bra1_chapecoense</t>
  </si>
  <si>
    <t>Chapecoense</t>
  </si>
  <si>
    <t>bra1_coritiba</t>
  </si>
  <si>
    <t>Coritiba</t>
  </si>
  <si>
    <t>bra1_mirassol</t>
  </si>
  <si>
    <t>Mirassol</t>
  </si>
  <si>
    <t>bra1_red_bull_bragantino</t>
  </si>
  <si>
    <t>Red Bull Bragantino</t>
  </si>
  <si>
    <t>bra1_remo</t>
  </si>
  <si>
    <t>Remo</t>
  </si>
  <si>
    <t>bra1_vitoria</t>
  </si>
  <si>
    <t>Vitória</t>
  </si>
  <si>
    <t>arg1_boca_juniors</t>
  </si>
  <si>
    <t>阿根廷</t>
  </si>
  <si>
    <t>Liga Profesional（30）</t>
  </si>
  <si>
    <t>Boca Juniors</t>
  </si>
  <si>
    <t>SRC-ARG</t>
  </si>
  <si>
    <t>arg1_river_plate</t>
  </si>
  <si>
    <t>River Plate</t>
  </si>
  <si>
    <t>arg1_estudiantes_de_la_plata</t>
  </si>
  <si>
    <t>Estudiantes de La Plata</t>
  </si>
  <si>
    <t>arg1_independiente</t>
  </si>
  <si>
    <t>Independiente</t>
  </si>
  <si>
    <t>arg1_lanus</t>
  </si>
  <si>
    <t>Lanús</t>
  </si>
  <si>
    <t>arg1_newell_s_old_boys</t>
  </si>
  <si>
    <t>Newell's Old Boys</t>
  </si>
  <si>
    <t>arg1_racing_club</t>
  </si>
  <si>
    <t>Racing Club</t>
  </si>
  <si>
    <t>arg1_rosario_central</t>
  </si>
  <si>
    <t>Rosario Central</t>
  </si>
  <si>
    <t>arg1_san_lorenzo</t>
  </si>
  <si>
    <t>San Lorenzo</t>
  </si>
  <si>
    <t>arg1_talleres</t>
  </si>
  <si>
    <t>Talleres</t>
  </si>
  <si>
    <t>arg1_velez_sarsfield</t>
  </si>
  <si>
    <t>Vélez Sarsfield</t>
  </si>
  <si>
    <t>arg1_aldosivi</t>
  </si>
  <si>
    <t>Aldosivi</t>
  </si>
  <si>
    <t>arg1_argentinos_juniors</t>
  </si>
  <si>
    <t>Argentinos Juniors</t>
  </si>
  <si>
    <t>arg1_atletico_tucuman</t>
  </si>
  <si>
    <t>Atlético Tucumán</t>
  </si>
  <si>
    <t>arg1_banfield</t>
  </si>
  <si>
    <t>Banfield</t>
  </si>
  <si>
    <t>arg1_barracas_central</t>
  </si>
  <si>
    <t>Barracas Central</t>
  </si>
  <si>
    <t>arg1_belgrano</t>
  </si>
  <si>
    <t>Belgrano</t>
  </si>
  <si>
    <t>arg1_central_cordoba</t>
  </si>
  <si>
    <t>Central Córdoba</t>
  </si>
  <si>
    <t>arg1_defensa_y_justicia</t>
  </si>
  <si>
    <t>Defensa y Justicia</t>
  </si>
  <si>
    <t>arg1_deportivo_riestra</t>
  </si>
  <si>
    <t>Deportivo Riestra</t>
  </si>
  <si>
    <t>arg1_estudiantes_de_rio_cuarto</t>
  </si>
  <si>
    <t>Estudiantes de Río Cuarto</t>
  </si>
  <si>
    <t>arg1_gimnasia_la_plata</t>
  </si>
  <si>
    <t>Gimnasia La Plata</t>
  </si>
  <si>
    <t>arg1_gimnasia_mendoza</t>
  </si>
  <si>
    <t>Gimnasia Mendoza</t>
  </si>
  <si>
    <t>arg1_huracan</t>
  </si>
  <si>
    <t>Huracán</t>
  </si>
  <si>
    <t>arg1_independiente_rivadavia</t>
  </si>
  <si>
    <t>Independiente Rivadavia</t>
  </si>
  <si>
    <t>arg1_instituto</t>
  </si>
  <si>
    <t>Instituto</t>
  </si>
  <si>
    <t>arg1_platense</t>
  </si>
  <si>
    <t>Platense</t>
  </si>
  <si>
    <t>arg1_sarmiento</t>
  </si>
  <si>
    <t>Sarmiento</t>
  </si>
  <si>
    <t>arg1_tigre</t>
  </si>
  <si>
    <t>Tigre</t>
  </si>
  <si>
    <t>arg1_union</t>
  </si>
  <si>
    <t>Unión</t>
  </si>
  <si>
    <t>chn1_shanghai_donggang</t>
  </si>
  <si>
    <t>中国</t>
  </si>
  <si>
    <t>中国顶级联赛（16）</t>
  </si>
  <si>
    <t>上海东港</t>
  </si>
  <si>
    <t>SRC-CHN-FIC</t>
  </si>
  <si>
    <t>chn1_beijing_yuhua</t>
  </si>
  <si>
    <t>北京御华</t>
  </si>
  <si>
    <t>chn1_shandong_taiyue</t>
  </si>
  <si>
    <t>山东泰岳</t>
  </si>
  <si>
    <t>chn1_chengdu_jincheng</t>
  </si>
  <si>
    <t>成都锦城</t>
  </si>
  <si>
    <t>chn1_wuhan_jiangcheng</t>
  </si>
  <si>
    <t>武汉江城</t>
  </si>
  <si>
    <t>chn1_tianjin_jinmen</t>
  </si>
  <si>
    <t>天津津门</t>
  </si>
  <si>
    <t>chn1_zhejiang_qianchao</t>
  </si>
  <si>
    <t>浙江钱潮</t>
  </si>
  <si>
    <t>chn1_henan_zhongyuan</t>
  </si>
  <si>
    <t>河南中原</t>
  </si>
  <si>
    <t>chn1_changchun_beichen</t>
  </si>
  <si>
    <t>长春北辰</t>
  </si>
  <si>
    <t>chn1_dalian_bincheng</t>
  </si>
  <si>
    <t>大连滨城</t>
  </si>
  <si>
    <t>chn1_qingdao_haiwan</t>
  </si>
  <si>
    <t>青岛海湾</t>
  </si>
  <si>
    <t>chn1_shenzhen_pengcheng</t>
  </si>
  <si>
    <t>深圳鹏城</t>
  </si>
  <si>
    <t>chn1_chongqing_shancheng</t>
  </si>
  <si>
    <t>重庆山城</t>
  </si>
  <si>
    <t>chn1_xian_changan</t>
  </si>
  <si>
    <t>西安长安</t>
  </si>
  <si>
    <t>chn1_nanjing_jinling</t>
  </si>
  <si>
    <t>南京金陵</t>
  </si>
  <si>
    <t>chn1_guangzhou_nanyue</t>
  </si>
  <si>
    <t>广州南粤</t>
  </si>
  <si>
    <t>chn2_guangxi_liancheng</t>
  </si>
  <si>
    <t>中国次级联赛（16）</t>
  </si>
  <si>
    <t>广西联城</t>
  </si>
  <si>
    <t>chn2_yunnan_shanhe</t>
  </si>
  <si>
    <t>云南山河</t>
  </si>
  <si>
    <t>chn2_liaoning_tiecheng</t>
  </si>
  <si>
    <t>辽宁铁城</t>
  </si>
  <si>
    <t>chn2_shijiazhuang_yanzhao</t>
  </si>
  <si>
    <t>石家庄燕赵</t>
  </si>
  <si>
    <t>chn2_suzhou_wumen</t>
  </si>
  <si>
    <t>苏州吴门</t>
  </si>
  <si>
    <t>chn2_wuxi_taihu</t>
  </si>
  <si>
    <t>无锡太湖</t>
  </si>
  <si>
    <t>chn2_nantong_jianghai</t>
  </si>
  <si>
    <t>南通江海</t>
  </si>
  <si>
    <t>chn2_hefei_luzhou</t>
  </si>
  <si>
    <t>合肥庐州</t>
  </si>
  <si>
    <t>chn2_foshan_lingnan</t>
  </si>
  <si>
    <t>佛山岭南</t>
  </si>
  <si>
    <t>chn2_meizhou_jiaying</t>
  </si>
  <si>
    <t>梅州嘉应</t>
  </si>
  <si>
    <t>chn2_xiamen_ludao</t>
  </si>
  <si>
    <t>厦门鹭岛</t>
  </si>
  <si>
    <t>chn2_ningbo_yongjiang</t>
  </si>
  <si>
    <t>宁波甬江</t>
  </si>
  <si>
    <t>chn2_shaanxi_qinling</t>
  </si>
  <si>
    <t>陕西秦岭</t>
  </si>
  <si>
    <t>chn2_guizhou_qianfeng</t>
  </si>
  <si>
    <t>贵州黔峰</t>
  </si>
  <si>
    <t>chn2_xinjiang_kunlun</t>
  </si>
  <si>
    <t>新疆昆仑</t>
  </si>
  <si>
    <t>chn2_hohhot_qingcheng</t>
  </si>
  <si>
    <t>呼和浩特青城</t>
  </si>
  <si>
    <t>俱乐部参数规则与说明</t>
  </si>
  <si>
    <t>六档平台只规定范围；最终值由联赛环境、俱乐部特征和人工复核共同决定。</t>
  </si>
  <si>
    <t>教练基础</t>
  </si>
  <si>
    <t>设施基准</t>
  </si>
  <si>
    <t>青训基准</t>
  </si>
  <si>
    <t>工资基准</t>
  </si>
  <si>
    <t>曝光基准</t>
  </si>
  <si>
    <t>参数</t>
  </si>
  <si>
    <t>最低</t>
  </si>
  <si>
    <t>最高</t>
  </si>
  <si>
    <t>说明</t>
  </si>
  <si>
    <t>T1设施</t>
  </si>
  <si>
    <t>T1青训</t>
  </si>
  <si>
    <t>相邻档允许合理重叠</t>
  </si>
  <si>
    <t>T2设施</t>
  </si>
  <si>
    <t>T2青训</t>
  </si>
  <si>
    <t>T3设施</t>
  </si>
  <si>
    <t>T3青训</t>
  </si>
  <si>
    <t>T4设施</t>
  </si>
  <si>
    <t>T4青训</t>
  </si>
  <si>
    <t>T5设施</t>
  </si>
  <si>
    <t>T5青训</t>
  </si>
  <si>
    <t>T6设施</t>
  </si>
  <si>
    <t>T6青训</t>
  </si>
  <si>
    <t>正式比赛分钟</t>
  </si>
  <si>
    <t>基础加成</t>
  </si>
  <si>
    <t>联赛类型</t>
  </si>
  <si>
    <t>经验强度</t>
  </si>
  <si>
    <t>0</t>
  </si>
  <si>
    <t>五大联赛顶级</t>
  </si>
  <si>
    <t>1至270</t>
  </si>
  <si>
    <t>荷兰／葡萄牙及同级欧洲顶级</t>
  </si>
  <si>
    <t>271至630</t>
  </si>
  <si>
    <t>五大联赛次级／巴西／阿根廷</t>
  </si>
  <si>
    <t>631至990</t>
  </si>
  <si>
    <t>中国／日本／韩国顶级</t>
  </si>
  <si>
    <t>991以上</t>
  </si>
  <si>
    <t>中国次级及其他低级别</t>
  </si>
  <si>
    <t>公式/边界</t>
  </si>
  <si>
    <t>内容</t>
  </si>
  <si>
    <t>青年队质量</t>
  </si>
  <si>
    <t>设施×35%＋青训×45%＋教练基础×20%</t>
  </si>
  <si>
    <t>一线队质量</t>
  </si>
  <si>
    <t>设施×45%＋青训×10%＋教练基础×45%</t>
  </si>
  <si>
    <t>环境倍率</t>
  </si>
  <si>
    <t>0.52＋（训练质量÷100）³×1.05；最终发展倍率仍限制在0.65至1.55</t>
  </si>
  <si>
    <t>联赛参数汇总</t>
  </si>
  <si>
    <t>用于检查联赛间的工资、曝光、青训和门槛梯度；平均值由参数总表实时计算。</t>
  </si>
  <si>
    <t>球队数</t>
  </si>
  <si>
    <t>平均平台</t>
  </si>
  <si>
    <t>平均设施</t>
  </si>
  <si>
    <t>平均青训</t>
  </si>
  <si>
    <t>平均工资</t>
  </si>
  <si>
    <t>平均曝光</t>
  </si>
  <si>
    <t>平均门槛</t>
  </si>
  <si>
    <t>平均年轻倾向</t>
  </si>
  <si>
    <t>12家样板复核与关键关系</t>
  </si>
  <si>
    <t>数值必须与已确认试算表一致；“通过”表示参数关系满足，并不代表代码已经实现。</t>
  </si>
  <si>
    <t>平台</t>
  </si>
  <si>
    <t>门槛</t>
  </si>
  <si>
    <t>年轻倾向</t>
  </si>
  <si>
    <t>青年质量</t>
  </si>
  <si>
    <t>一线质量</t>
  </si>
  <si>
    <t>来源行</t>
  </si>
  <si>
    <t>参数一致</t>
  </si>
  <si>
    <t>备注</t>
  </si>
  <si>
    <t>国际米兰</t>
  </si>
  <si>
    <t>人工锁定样板</t>
  </si>
  <si>
    <t>浦和红钻</t>
  </si>
  <si>
    <t>关键关系</t>
  </si>
  <si>
    <t>左侧值</t>
  </si>
  <si>
    <t>右侧值</t>
  </si>
  <si>
    <t>结果</t>
  </si>
  <si>
    <t>国际米兰青训 &gt; 上海东港青训</t>
  </si>
  <si>
    <t>上海东港青训 &gt; 广西联城青训</t>
  </si>
  <si>
    <t>Ajax青训 &gt; Brighton青训</t>
  </si>
  <si>
    <t>Brighton工资 &gt; Ajax工资</t>
  </si>
  <si>
    <t>国际米兰门槛 &gt; Ajax门槛</t>
  </si>
  <si>
    <t>俱乐部名单数据来源</t>
  </si>
  <si>
    <t>档位和六项参数属于游戏平衡判断；URL只证明参赛名单口径，不代表官方评级。</t>
  </si>
  <si>
    <t>来源URL或说明</t>
  </si>
  <si>
    <t>Premier League</t>
  </si>
  <si>
    <t>https://www.premierleague.com/en/news/4673099/the-202627-premier-league-season-officially-starts/</t>
  </si>
  <si>
    <t>EFL Championship</t>
  </si>
  <si>
    <t>https://www.efl.com/embeds/league-table/</t>
  </si>
  <si>
    <t>LaLiga EA Sports</t>
  </si>
  <si>
    <t>https://www.laliga.com/en-US/laliga-easports/clubs</t>
  </si>
  <si>
    <t>LaLiga Hypermotion</t>
  </si>
  <si>
    <t>https://www.laliga.com/en-GB/laliga-hypermotion/clubs</t>
  </si>
  <si>
    <t>Serie A</t>
  </si>
  <si>
    <t>https://en.legaseriea.it/serie-a/news/looking-forward-to-the-2026-27-serie-a-fixture-list</t>
  </si>
  <si>
    <t>Serie B</t>
  </si>
  <si>
    <t>https://www.legab.it/seriebkt/squadre</t>
  </si>
  <si>
    <t>Bundesliga</t>
  </si>
  <si>
    <t>https://www.bundesliga.com/en/bundesliga/clubs</t>
  </si>
  <si>
    <t>2. Bundesliga</t>
  </si>
  <si>
    <t>https://www.bundesliga.com/de/2bundesliga/clubs</t>
  </si>
  <si>
    <t>Ligue 1</t>
  </si>
  <si>
    <t>https://ligue1.com/fr/articles/l1_article_5284-</t>
  </si>
  <si>
    <t>Ligue 2</t>
  </si>
  <si>
    <t>https://ligue1.com/fr/articles/l1_article_5281-</t>
  </si>
  <si>
    <t>Eredivisie</t>
  </si>
  <si>
    <t>https://eredivisie.com/competition/clubs/</t>
  </si>
  <si>
    <t>Liga Portugal</t>
  </si>
  <si>
    <t>https://www.ligaportugal.pt/backoffice/assets/Comunicado_Oficial_n_362_fba25aee39.pdf</t>
  </si>
  <si>
    <t>Belgian Pro League</t>
  </si>
  <si>
    <t>https://www.proleague.be/nieuws/kalender-2026-2027-club-brugge-opent-tegen-kv-kortrijk-eerste-super-sunday-al-op-speeldag-4</t>
  </si>
  <si>
    <t>J1 League</t>
  </si>
  <si>
    <t>https://www.jleague.co/standings/j1/2026/</t>
  </si>
  <si>
    <t>K League 1</t>
  </si>
  <si>
    <t>https://www.kleague.com/match/pdfDownload.do?gameId=101&amp;meetSeq=1&amp;year=2026</t>
  </si>
  <si>
    <t>Campeonato Brasileiro Série A</t>
  </si>
  <si>
    <t>https://www.cbf.com.br/futebol-brasileiro/times/campeonato-brasileiro/serie-a/2026</t>
  </si>
  <si>
    <t>Liga Profesional</t>
  </si>
  <si>
    <t>https://assets1.afa.com.ar/2026/BOLETINES/Boletin-6845-Complementario-01-x-Reglamento-del-Torneo-de-Categorias-Juveniles-LPF-2026-%281%29.pdf</t>
  </si>
  <si>
    <t>中国虚构联赛</t>
  </si>
  <si>
    <t>项目内部虚构名单；不对应现实俱乐部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</si>
</sst>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name val="Carlito"/>
    </font>
    <font>
      <sz val="10"/>
      <color rgb="FF17362E"/>
      <name val="Aptos"/>
    </font>
    <font>
      <b/>
      <sz val="20"/>
      <color rgb="FFFFFFFF"/>
      <name val="Aptos Display"/>
    </font>
    <font>
      <i/>
      <sz val="10"/>
      <color rgb="FF5B5B5B"/>
      <name val="Aptos"/>
    </font>
    <font>
      <b/>
      <sz val="10"/>
      <color rgb="FF17362E"/>
      <name val="Aptos"/>
    </font>
    <font>
      <sz val="10"/>
      <color rgb="FF1F5D99"/>
      <name val="Aptos"/>
    </font>
    <font>
      <sz val="11"/>
      <name val="Carlito"/>
    </font>
    <font>
      <sz val="9"/>
      <name val="ChillDINGothic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B3D32"/>
      </patternFill>
    </fill>
    <fill>
      <patternFill patternType="solid">
        <fgColor rgb="FFF7F2E7"/>
      </patternFill>
    </fill>
    <fill>
      <patternFill patternType="solid">
        <fgColor rgb="FFC5A253"/>
      </patternFill>
    </fill>
    <fill>
      <patternFill patternType="solid">
        <fgColor rgb="FFEAF1EC"/>
      </patternFill>
    </fill>
  </fills>
  <borders count="10">
    <border>
      <left/>
      <right/>
      <top/>
      <bottom/>
      <diagonal/>
    </border>
    <border>
      <left/>
      <right style="thin">
        <color rgb="FFD8CFBA"/>
      </right>
      <top/>
      <bottom style="thin">
        <color rgb="FFD8CFBA"/>
      </bottom>
      <diagonal/>
    </border>
    <border>
      <left style="thin">
        <color rgb="FFD8CFBA"/>
      </left>
      <right style="thin">
        <color rgb="FFD8CFBA"/>
      </right>
      <top/>
      <bottom style="thin">
        <color rgb="FFD8CFBA"/>
      </bottom>
      <diagonal/>
    </border>
    <border>
      <left style="thin">
        <color rgb="FFD8CFBA"/>
      </left>
      <right/>
      <top/>
      <bottom style="thin">
        <color rgb="FFD8CFBA"/>
      </bottom>
      <diagonal/>
    </border>
    <border>
      <left/>
      <right style="thin">
        <color rgb="FFD8CFBA"/>
      </right>
      <top style="thin">
        <color rgb="FFD8CFBA"/>
      </top>
      <bottom style="thin">
        <color rgb="FFD8CFBA"/>
      </bottom>
      <diagonal/>
    </border>
    <border>
      <left style="thin">
        <color rgb="FFD8CFBA"/>
      </left>
      <right style="thin">
        <color rgb="FFD8CFBA"/>
      </right>
      <top style="thin">
        <color rgb="FFD8CFBA"/>
      </top>
      <bottom style="thin">
        <color rgb="FFD8CFBA"/>
      </bottom>
      <diagonal/>
    </border>
    <border>
      <left style="thin">
        <color rgb="FFD8CFBA"/>
      </left>
      <right/>
      <top style="thin">
        <color rgb="FFD8CFBA"/>
      </top>
      <bottom style="thin">
        <color rgb="FFD8CFBA"/>
      </bottom>
      <diagonal/>
    </border>
    <border>
      <left/>
      <right style="thin">
        <color rgb="FFD8CFBA"/>
      </right>
      <top style="thin">
        <color rgb="FFD8CFBA"/>
      </top>
      <bottom/>
      <diagonal/>
    </border>
    <border>
      <left style="thin">
        <color rgb="FFD8CFBA"/>
      </left>
      <right style="thin">
        <color rgb="FFD8CFBA"/>
      </right>
      <top style="thin">
        <color rgb="FFD8CFBA"/>
      </top>
      <bottom/>
      <diagonal/>
    </border>
    <border>
      <left style="thin">
        <color rgb="FFD8CFBA"/>
      </left>
      <right/>
      <top style="thin">
        <color rgb="FFD8CFBA"/>
      </top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0" xfId="1" applyFont="1"/>
    <xf numFmtId="0" fontId="4" fillId="4" borderId="0" xfId="1" applyFont="1" applyFill="1"/>
    <xf numFmtId="1" fontId="1" fillId="0" borderId="0" xfId="1" applyNumberFormat="1" applyFont="1"/>
    <xf numFmtId="1" fontId="1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/>
    </xf>
    <xf numFmtId="176" fontId="1" fillId="0" borderId="0" xfId="1" applyNumberFormat="1" applyFont="1" applyAlignment="1">
      <alignment horizontal="center"/>
    </xf>
    <xf numFmtId="0" fontId="1" fillId="0" borderId="0" xfId="1" applyFont="1" applyAlignment="1">
      <alignment wrapText="1"/>
    </xf>
    <xf numFmtId="0" fontId="4" fillId="4" borderId="1" xfId="1" applyFont="1" applyFill="1" applyBorder="1"/>
    <xf numFmtId="0" fontId="4" fillId="4" borderId="2" xfId="1" applyFont="1" applyFill="1" applyBorder="1"/>
    <xf numFmtId="0" fontId="4" fillId="4" borderId="3" xfId="1" applyFont="1" applyFill="1" applyBorder="1"/>
    <xf numFmtId="0" fontId="1" fillId="0" borderId="4" xfId="1" applyFont="1" applyBorder="1"/>
    <xf numFmtId="0" fontId="1" fillId="0" borderId="5" xfId="1" applyFont="1" applyBorder="1"/>
    <xf numFmtId="0" fontId="1" fillId="0" borderId="6" xfId="1" applyFont="1" applyBorder="1"/>
    <xf numFmtId="0" fontId="1" fillId="0" borderId="7" xfId="1" applyFont="1" applyBorder="1"/>
    <xf numFmtId="0" fontId="1" fillId="0" borderId="8" xfId="1" applyFont="1" applyBorder="1"/>
    <xf numFmtId="0" fontId="1" fillId="0" borderId="9" xfId="1" applyFont="1" applyBorder="1"/>
    <xf numFmtId="2" fontId="1" fillId="0" borderId="5" xfId="1" applyNumberFormat="1" applyFont="1" applyBorder="1"/>
    <xf numFmtId="176" fontId="1" fillId="0" borderId="0" xfId="1" applyNumberFormat="1" applyFont="1"/>
    <xf numFmtId="0" fontId="4" fillId="4" borderId="5" xfId="1" applyFont="1" applyFill="1" applyBorder="1"/>
    <xf numFmtId="0" fontId="1" fillId="5" borderId="0" xfId="1" applyFont="1" applyFill="1"/>
    <xf numFmtId="0" fontId="1" fillId="5" borderId="5" xfId="1" applyFont="1" applyFill="1" applyBorder="1"/>
    <xf numFmtId="0" fontId="2" fillId="2" borderId="0" xfId="1" applyFont="1" applyFill="1"/>
    <xf numFmtId="0" fontId="1" fillId="0" borderId="0" xfId="1" applyFont="1"/>
    <xf numFmtId="0" fontId="3" fillId="3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ubParametersTable" displayName="ClubParametersTable" ref="A4:R370" totalsRowShown="0">
  <autoFilter ref="A4:R370" xr:uid="{00000000-0009-0000-0100-000001000000}">
    <filterColumn colId="2">
      <filters>
        <filter val="意大利"/>
      </filters>
    </filterColumn>
  </autoFilter>
  <tableColumns count="18">
    <tableColumn id="1" xr3:uid="{00000000-0010-0000-0000-000001000000}" name="序号"/>
    <tableColumn id="2" xr3:uid="{00000000-0010-0000-0000-000002000000}" name="club_id"/>
    <tableColumn id="3" xr3:uid="{00000000-0010-0000-0000-000003000000}" name="国家/地区"/>
    <tableColumn id="4" xr3:uid="{00000000-0010-0000-0000-000004000000}" name="联赛"/>
    <tableColumn id="5" xr3:uid="{00000000-0010-0000-0000-000005000000}" name="级别"/>
    <tableColumn id="6" xr3:uid="{00000000-0010-0000-0000-000006000000}" name="俱乐部"/>
    <tableColumn id="7" xr3:uid="{00000000-0010-0000-0000-000007000000}" name="平台档"/>
    <tableColumn id="8" xr3:uid="{00000000-0010-0000-0000-000008000000}" name="设施"/>
    <tableColumn id="9" xr3:uid="{00000000-0010-0000-0000-000009000000}" name="青训"/>
    <tableColumn id="10" xr3:uid="{00000000-0010-0000-0000-00000A000000}" name="工资"/>
    <tableColumn id="11" xr3:uid="{00000000-0010-0000-0000-00000B000000}" name="曝光"/>
    <tableColumn id="12" xr3:uid="{00000000-0010-0000-0000-00000C000000}" name="一线队门槛"/>
    <tableColumn id="13" xr3:uid="{00000000-0010-0000-0000-00000D000000}" name="年轻球员倾向"/>
    <tableColumn id="14" xr3:uid="{00000000-0010-0000-0000-00000E000000}" name="青年训练质量"/>
    <tableColumn id="15" xr3:uid="{00000000-0010-0000-0000-00000F000000}" name="一线队训练质量"/>
    <tableColumn id="16" xr3:uid="{00000000-0010-0000-0000-000010000000}" name="特征标签"/>
    <tableColumn id="17" xr3:uid="{00000000-0010-0000-0000-000011000000}" name="生成方式"/>
    <tableColumn id="18" xr3:uid="{00000000-0010-0000-0000-000012000000}" name="来源I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agueSummaryTable" displayName="LeagueSummaryTable" ref="A4:J23" totalsRowShown="0">
  <tableColumns count="10">
    <tableColumn id="1" xr3:uid="{00000000-0010-0000-0100-000001000000}" name="联赛"/>
    <tableColumn id="2" xr3:uid="{00000000-0010-0000-0100-000002000000}" name="国家/地区"/>
    <tableColumn id="3" xr3:uid="{00000000-0010-0000-0100-000003000000}" name="球队数"/>
    <tableColumn id="4" xr3:uid="{00000000-0010-0000-0100-000004000000}" name="平均平台"/>
    <tableColumn id="5" xr3:uid="{00000000-0010-0000-0100-000005000000}" name="平均设施"/>
    <tableColumn id="6" xr3:uid="{00000000-0010-0000-0100-000006000000}" name="平均青训"/>
    <tableColumn id="7" xr3:uid="{00000000-0010-0000-0100-000007000000}" name="平均工资"/>
    <tableColumn id="8" xr3:uid="{00000000-0010-0000-0100-000008000000}" name="平均曝光"/>
    <tableColumn id="9" xr3:uid="{00000000-0010-0000-0100-000009000000}" name="平均门槛"/>
    <tableColumn id="10" xr3:uid="{00000000-0010-0000-0100-00000A000000}" name="平均年轻倾向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4:D22" totalsRowShown="0">
  <tableColumns count="4">
    <tableColumn id="1" xr3:uid="{00000000-0010-0000-0200-000001000000}" name="来源ID"/>
    <tableColumn id="2" xr3:uid="{00000000-0010-0000-0200-000002000000}" name="国家/地区"/>
    <tableColumn id="3" xr3:uid="{00000000-0010-0000-0200-000003000000}" name="联赛"/>
    <tableColumn id="4" xr3:uid="{00000000-0010-0000-0200-000004000000}" name="来源URL或说明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0"/>
  <sheetViews>
    <sheetView showGridLines="0" tabSelected="1" workbookViewId="0">
      <selection activeCell="H96" sqref="H96"/>
    </sheetView>
  </sheetViews>
  <sheetFormatPr baseColWidth="10" defaultColWidth="8.83203125" defaultRowHeight="14"/>
  <cols>
    <col min="1" max="1" width="7" customWidth="1"/>
    <col min="2" max="2" width="27" customWidth="1"/>
    <col min="3" max="3" width="11" customWidth="1"/>
    <col min="4" max="4" width="32" customWidth="1"/>
    <col min="5" max="5" width="7" customWidth="1"/>
    <col min="6" max="6" width="24" customWidth="1"/>
    <col min="7" max="11" width="8" customWidth="1"/>
    <col min="12" max="12" width="12" customWidth="1"/>
    <col min="13" max="13" width="14" customWidth="1"/>
    <col min="14" max="15" width="13" customWidth="1"/>
    <col min="16" max="16" width="26" customWidth="1"/>
    <col min="17" max="17" width="11" customWidth="1"/>
    <col min="18" max="18" width="14" customWidth="1"/>
  </cols>
  <sheetData>
    <row r="1" spans="1:18" ht="34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24" customHeight="1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30" hidden="1">
      <c r="A5" s="3">
        <v>1</v>
      </c>
      <c r="B5" s="1" t="s">
        <v>20</v>
      </c>
      <c r="C5" s="1" t="s">
        <v>21</v>
      </c>
      <c r="D5" s="1" t="s">
        <v>22</v>
      </c>
      <c r="E5" s="1">
        <v>1</v>
      </c>
      <c r="F5" s="1" t="s">
        <v>23</v>
      </c>
      <c r="G5" s="4">
        <v>1</v>
      </c>
      <c r="H5" s="5">
        <v>96</v>
      </c>
      <c r="I5" s="5">
        <v>94</v>
      </c>
      <c r="J5" s="5">
        <v>98</v>
      </c>
      <c r="K5" s="5">
        <v>98</v>
      </c>
      <c r="L5" s="5">
        <v>87</v>
      </c>
      <c r="M5" s="5">
        <v>86</v>
      </c>
      <c r="N5" s="6">
        <f>ROUND(H5*35%+I5*45%+VLOOKUP(G5,规则与说明!$A$6:$B$11,2,FALSE)*20%,1)</f>
        <v>94.7</v>
      </c>
      <c r="O5" s="6">
        <f>ROUND(H5*45%+I5*10%+VLOOKUP(G5,规则与说明!$A$6:$B$11,2,FALSE)*45%,1)</f>
        <v>94.9</v>
      </c>
      <c r="P5" s="7" t="s">
        <v>24</v>
      </c>
      <c r="Q5" s="1" t="s">
        <v>25</v>
      </c>
      <c r="R5" s="1" t="s">
        <v>26</v>
      </c>
    </row>
    <row r="6" spans="1:18" ht="30" hidden="1">
      <c r="A6" s="3">
        <v>2</v>
      </c>
      <c r="B6" s="1" t="s">
        <v>27</v>
      </c>
      <c r="C6" s="1" t="s">
        <v>21</v>
      </c>
      <c r="D6" s="1" t="s">
        <v>22</v>
      </c>
      <c r="E6" s="1">
        <v>1</v>
      </c>
      <c r="F6" s="1" t="s">
        <v>28</v>
      </c>
      <c r="G6" s="4">
        <v>1</v>
      </c>
      <c r="H6" s="5">
        <v>98</v>
      </c>
      <c r="I6" s="5">
        <v>94</v>
      </c>
      <c r="J6" s="5">
        <v>98</v>
      </c>
      <c r="K6" s="5">
        <v>98</v>
      </c>
      <c r="L6" s="5">
        <v>89</v>
      </c>
      <c r="M6" s="5">
        <v>82</v>
      </c>
      <c r="N6" s="6">
        <f>ROUND(H6*35%+I6*45%+VLOOKUP(G6,规则与说明!$A$6:$B$11,2,FALSE)*20%,1)</f>
        <v>95.4</v>
      </c>
      <c r="O6" s="6">
        <f>ROUND(H6*45%+I6*10%+VLOOKUP(G6,规则与说明!$A$6:$B$11,2,FALSE)*45%,1)</f>
        <v>95.8</v>
      </c>
      <c r="P6" s="7" t="s">
        <v>24</v>
      </c>
      <c r="Q6" s="1" t="s">
        <v>25</v>
      </c>
      <c r="R6" s="1" t="s">
        <v>26</v>
      </c>
    </row>
    <row r="7" spans="1:18" ht="30" hidden="1">
      <c r="A7" s="3">
        <v>3</v>
      </c>
      <c r="B7" s="1" t="s">
        <v>29</v>
      </c>
      <c r="C7" s="1" t="s">
        <v>21</v>
      </c>
      <c r="D7" s="1" t="s">
        <v>22</v>
      </c>
      <c r="E7" s="1">
        <v>1</v>
      </c>
      <c r="F7" s="1" t="s">
        <v>30</v>
      </c>
      <c r="G7" s="4">
        <v>1</v>
      </c>
      <c r="H7" s="5">
        <v>98</v>
      </c>
      <c r="I7" s="5">
        <v>91</v>
      </c>
      <c r="J7" s="5">
        <v>98</v>
      </c>
      <c r="K7" s="5">
        <v>98</v>
      </c>
      <c r="L7" s="5">
        <v>87</v>
      </c>
      <c r="M7" s="5">
        <v>76</v>
      </c>
      <c r="N7" s="6">
        <f>ROUND(H7*35%+I7*45%+VLOOKUP(G7,规则与说明!$A$6:$B$11,2,FALSE)*20%,1)</f>
        <v>94.1</v>
      </c>
      <c r="O7" s="6">
        <f>ROUND(H7*45%+I7*10%+VLOOKUP(G7,规则与说明!$A$6:$B$11,2,FALSE)*45%,1)</f>
        <v>95.5</v>
      </c>
      <c r="P7" s="7" t="s">
        <v>24</v>
      </c>
      <c r="Q7" s="1" t="s">
        <v>25</v>
      </c>
      <c r="R7" s="1" t="s">
        <v>26</v>
      </c>
    </row>
    <row r="8" spans="1:18" ht="30" hidden="1">
      <c r="A8" s="3">
        <v>4</v>
      </c>
      <c r="B8" s="1" t="s">
        <v>31</v>
      </c>
      <c r="C8" s="1" t="s">
        <v>21</v>
      </c>
      <c r="D8" s="1" t="s">
        <v>22</v>
      </c>
      <c r="E8" s="1">
        <v>1</v>
      </c>
      <c r="F8" s="1" t="s">
        <v>32</v>
      </c>
      <c r="G8" s="4">
        <v>1</v>
      </c>
      <c r="H8" s="5">
        <v>98</v>
      </c>
      <c r="I8" s="5">
        <v>95</v>
      </c>
      <c r="J8" s="5">
        <v>98</v>
      </c>
      <c r="K8" s="5">
        <v>98</v>
      </c>
      <c r="L8" s="5">
        <v>87</v>
      </c>
      <c r="M8" s="5">
        <v>80</v>
      </c>
      <c r="N8" s="6">
        <f>ROUND(H8*35%+I8*45%+VLOOKUP(G8,规则与说明!$A$6:$B$11,2,FALSE)*20%,1)</f>
        <v>95.9</v>
      </c>
      <c r="O8" s="6">
        <f>ROUND(H8*45%+I8*10%+VLOOKUP(G8,规则与说明!$A$6:$B$11,2,FALSE)*45%,1)</f>
        <v>95.9</v>
      </c>
      <c r="P8" s="7" t="s">
        <v>24</v>
      </c>
      <c r="Q8" s="1" t="s">
        <v>25</v>
      </c>
      <c r="R8" s="1" t="s">
        <v>26</v>
      </c>
    </row>
    <row r="9" spans="1:18" ht="30" hidden="1">
      <c r="A9" s="3">
        <v>5</v>
      </c>
      <c r="B9" s="1" t="s">
        <v>33</v>
      </c>
      <c r="C9" s="1" t="s">
        <v>21</v>
      </c>
      <c r="D9" s="1" t="s">
        <v>22</v>
      </c>
      <c r="E9" s="1">
        <v>1</v>
      </c>
      <c r="F9" s="1" t="s">
        <v>34</v>
      </c>
      <c r="G9" s="4">
        <v>1</v>
      </c>
      <c r="H9" s="5">
        <v>98</v>
      </c>
      <c r="I9" s="5">
        <v>93</v>
      </c>
      <c r="J9" s="5">
        <v>98</v>
      </c>
      <c r="K9" s="5">
        <v>98</v>
      </c>
      <c r="L9" s="5">
        <v>87</v>
      </c>
      <c r="M9" s="5">
        <v>78</v>
      </c>
      <c r="N9" s="6">
        <f>ROUND(H9*35%+I9*45%+VLOOKUP(G9,规则与说明!$A$6:$B$11,2,FALSE)*20%,1)</f>
        <v>95</v>
      </c>
      <c r="O9" s="6">
        <f>ROUND(H9*45%+I9*10%+VLOOKUP(G9,规则与说明!$A$6:$B$11,2,FALSE)*45%,1)</f>
        <v>95.7</v>
      </c>
      <c r="P9" s="7" t="s">
        <v>24</v>
      </c>
      <c r="Q9" s="1" t="s">
        <v>25</v>
      </c>
      <c r="R9" s="1" t="s">
        <v>26</v>
      </c>
    </row>
    <row r="10" spans="1:18" ht="15" hidden="1">
      <c r="A10" s="3">
        <v>6</v>
      </c>
      <c r="B10" s="1" t="s">
        <v>35</v>
      </c>
      <c r="C10" s="1" t="s">
        <v>21</v>
      </c>
      <c r="D10" s="1" t="s">
        <v>22</v>
      </c>
      <c r="E10" s="1">
        <v>1</v>
      </c>
      <c r="F10" s="1" t="s">
        <v>36</v>
      </c>
      <c r="G10" s="4">
        <v>2</v>
      </c>
      <c r="H10" s="5">
        <v>89</v>
      </c>
      <c r="I10" s="5">
        <v>87</v>
      </c>
      <c r="J10" s="5">
        <v>90</v>
      </c>
      <c r="K10" s="5">
        <v>95</v>
      </c>
      <c r="L10" s="5">
        <v>84</v>
      </c>
      <c r="M10" s="5">
        <v>66</v>
      </c>
      <c r="N10" s="6">
        <f>ROUND(H10*35%+I10*45%+VLOOKUP(G10,规则与说明!$A$6:$B$11,2,FALSE)*20%,1)</f>
        <v>87.7</v>
      </c>
      <c r="O10" s="6">
        <f>ROUND(H10*45%+I10*10%+VLOOKUP(G10,规则与说明!$A$6:$B$11,2,FALSE)*45%,1)</f>
        <v>87.9</v>
      </c>
      <c r="P10" s="7" t="s">
        <v>37</v>
      </c>
      <c r="Q10" s="1" t="s">
        <v>38</v>
      </c>
      <c r="R10" s="1" t="s">
        <v>26</v>
      </c>
    </row>
    <row r="11" spans="1:18" ht="30" hidden="1">
      <c r="A11" s="3">
        <v>7</v>
      </c>
      <c r="B11" s="1" t="s">
        <v>39</v>
      </c>
      <c r="C11" s="1" t="s">
        <v>21</v>
      </c>
      <c r="D11" s="1" t="s">
        <v>22</v>
      </c>
      <c r="E11" s="1">
        <v>1</v>
      </c>
      <c r="F11" s="1" t="s">
        <v>40</v>
      </c>
      <c r="G11" s="4">
        <v>2</v>
      </c>
      <c r="H11" s="5">
        <v>93</v>
      </c>
      <c r="I11" s="5">
        <v>88</v>
      </c>
      <c r="J11" s="5">
        <v>91</v>
      </c>
      <c r="K11" s="5">
        <v>90</v>
      </c>
      <c r="L11" s="5">
        <v>83</v>
      </c>
      <c r="M11" s="5">
        <v>68</v>
      </c>
      <c r="N11" s="6">
        <f>ROUND(H11*35%+I11*45%+VLOOKUP(G11,规则与说明!$A$6:$B$11,2,FALSE)*20%,1)</f>
        <v>89.6</v>
      </c>
      <c r="O11" s="6">
        <f>ROUND(H11*45%+I11*10%+VLOOKUP(G11,规则与说明!$A$6:$B$11,2,FALSE)*45%,1)</f>
        <v>89.8</v>
      </c>
      <c r="P11" s="7" t="s">
        <v>41</v>
      </c>
      <c r="Q11" s="1" t="s">
        <v>38</v>
      </c>
      <c r="R11" s="1" t="s">
        <v>26</v>
      </c>
    </row>
    <row r="12" spans="1:18" ht="30" hidden="1">
      <c r="A12" s="3">
        <v>8</v>
      </c>
      <c r="B12" s="1" t="s">
        <v>42</v>
      </c>
      <c r="C12" s="1" t="s">
        <v>21</v>
      </c>
      <c r="D12" s="1" t="s">
        <v>22</v>
      </c>
      <c r="E12" s="1">
        <v>1</v>
      </c>
      <c r="F12" s="1" t="s">
        <v>43</v>
      </c>
      <c r="G12" s="4">
        <v>2</v>
      </c>
      <c r="H12" s="5">
        <v>93</v>
      </c>
      <c r="I12" s="5">
        <v>89</v>
      </c>
      <c r="J12" s="5">
        <v>91</v>
      </c>
      <c r="K12" s="5">
        <v>90</v>
      </c>
      <c r="L12" s="5">
        <v>82</v>
      </c>
      <c r="M12" s="5">
        <v>66</v>
      </c>
      <c r="N12" s="6">
        <f>ROUND(H12*35%+I12*45%+VLOOKUP(G12,规则与说明!$A$6:$B$11,2,FALSE)*20%,1)</f>
        <v>90</v>
      </c>
      <c r="O12" s="6">
        <f>ROUND(H12*45%+I12*10%+VLOOKUP(G12,规则与说明!$A$6:$B$11,2,FALSE)*45%,1)</f>
        <v>89.9</v>
      </c>
      <c r="P12" s="7" t="s">
        <v>41</v>
      </c>
      <c r="Q12" s="1" t="s">
        <v>38</v>
      </c>
      <c r="R12" s="1" t="s">
        <v>26</v>
      </c>
    </row>
    <row r="13" spans="1:18" ht="15" hidden="1">
      <c r="A13" s="3">
        <v>9</v>
      </c>
      <c r="B13" s="1" t="s">
        <v>44</v>
      </c>
      <c r="C13" s="1" t="s">
        <v>21</v>
      </c>
      <c r="D13" s="1" t="s">
        <v>22</v>
      </c>
      <c r="E13" s="1">
        <v>1</v>
      </c>
      <c r="F13" s="1" t="s">
        <v>45</v>
      </c>
      <c r="G13" s="4">
        <v>3</v>
      </c>
      <c r="H13" s="5">
        <v>86</v>
      </c>
      <c r="I13" s="5">
        <v>77</v>
      </c>
      <c r="J13" s="5">
        <v>79</v>
      </c>
      <c r="K13" s="5">
        <v>82</v>
      </c>
      <c r="L13" s="5">
        <v>78</v>
      </c>
      <c r="M13" s="5">
        <v>66</v>
      </c>
      <c r="N13" s="6">
        <f>ROUND(H13*35%+I13*45%+VLOOKUP(G13,规则与说明!$A$6:$B$11,2,FALSE)*20%,1)</f>
        <v>80.599999999999994</v>
      </c>
      <c r="O13" s="6">
        <f>ROUND(H13*45%+I13*10%+VLOOKUP(G13,规则与说明!$A$6:$B$11,2,FALSE)*45%,1)</f>
        <v>82</v>
      </c>
      <c r="P13" s="7" t="s">
        <v>46</v>
      </c>
      <c r="Q13" s="1" t="s">
        <v>38</v>
      </c>
      <c r="R13" s="1" t="s">
        <v>26</v>
      </c>
    </row>
    <row r="14" spans="1:18" ht="15" hidden="1">
      <c r="A14" s="3">
        <v>10</v>
      </c>
      <c r="B14" s="1" t="s">
        <v>47</v>
      </c>
      <c r="C14" s="1" t="s">
        <v>21</v>
      </c>
      <c r="D14" s="1" t="s">
        <v>22</v>
      </c>
      <c r="E14" s="1">
        <v>1</v>
      </c>
      <c r="F14" s="1" t="s">
        <v>48</v>
      </c>
      <c r="G14" s="4">
        <v>3</v>
      </c>
      <c r="H14" s="5">
        <v>83</v>
      </c>
      <c r="I14" s="5">
        <v>81</v>
      </c>
      <c r="J14" s="5">
        <v>80</v>
      </c>
      <c r="K14" s="5">
        <v>82</v>
      </c>
      <c r="L14" s="5">
        <v>79</v>
      </c>
      <c r="M14" s="5">
        <v>68</v>
      </c>
      <c r="N14" s="6">
        <f>ROUND(H14*35%+I14*45%+VLOOKUP(G14,规则与说明!$A$6:$B$11,2,FALSE)*20%,1)</f>
        <v>81.3</v>
      </c>
      <c r="O14" s="6">
        <f>ROUND(H14*45%+I14*10%+VLOOKUP(G14,规则与说明!$A$6:$B$11,2,FALSE)*45%,1)</f>
        <v>81</v>
      </c>
      <c r="P14" s="7" t="s">
        <v>46</v>
      </c>
      <c r="Q14" s="1" t="s">
        <v>38</v>
      </c>
      <c r="R14" s="1" t="s">
        <v>26</v>
      </c>
    </row>
    <row r="15" spans="1:18" ht="15" hidden="1">
      <c r="A15" s="3">
        <v>11</v>
      </c>
      <c r="B15" s="1" t="s">
        <v>49</v>
      </c>
      <c r="C15" s="1" t="s">
        <v>21</v>
      </c>
      <c r="D15" s="1" t="s">
        <v>22</v>
      </c>
      <c r="E15" s="1">
        <v>1</v>
      </c>
      <c r="F15" s="1" t="s">
        <v>50</v>
      </c>
      <c r="G15" s="4">
        <v>3</v>
      </c>
      <c r="H15" s="5">
        <v>86</v>
      </c>
      <c r="I15" s="5">
        <v>86</v>
      </c>
      <c r="J15" s="5">
        <v>88</v>
      </c>
      <c r="K15" s="5">
        <v>91</v>
      </c>
      <c r="L15" s="5">
        <v>77</v>
      </c>
      <c r="M15" s="5">
        <v>84</v>
      </c>
      <c r="N15" s="6">
        <f>ROUND(H15*35%+I15*45%+VLOOKUP(G15,规则与说明!$A$6:$B$11,2,FALSE)*20%,1)</f>
        <v>84.6</v>
      </c>
      <c r="O15" s="6">
        <f>ROUND(H15*45%+I15*10%+VLOOKUP(G15,规则与说明!$A$6:$B$11,2,FALSE)*45%,1)</f>
        <v>82.9</v>
      </c>
      <c r="P15" s="7" t="s">
        <v>51</v>
      </c>
      <c r="Q15" s="1" t="s">
        <v>25</v>
      </c>
      <c r="R15" s="1" t="s">
        <v>26</v>
      </c>
    </row>
    <row r="16" spans="1:18" ht="15" hidden="1">
      <c r="A16" s="3">
        <v>12</v>
      </c>
      <c r="B16" s="1" t="s">
        <v>52</v>
      </c>
      <c r="C16" s="1" t="s">
        <v>21</v>
      </c>
      <c r="D16" s="1" t="s">
        <v>22</v>
      </c>
      <c r="E16" s="1">
        <v>1</v>
      </c>
      <c r="F16" s="1" t="s">
        <v>53</v>
      </c>
      <c r="G16" s="4">
        <v>3</v>
      </c>
      <c r="H16" s="5">
        <v>82</v>
      </c>
      <c r="I16" s="5">
        <v>81</v>
      </c>
      <c r="J16" s="5">
        <v>76</v>
      </c>
      <c r="K16" s="5">
        <v>84</v>
      </c>
      <c r="L16" s="5">
        <v>80</v>
      </c>
      <c r="M16" s="5">
        <v>66</v>
      </c>
      <c r="N16" s="6">
        <f>ROUND(H16*35%+I16*45%+VLOOKUP(G16,规则与说明!$A$6:$B$11,2,FALSE)*20%,1)</f>
        <v>81</v>
      </c>
      <c r="O16" s="6">
        <f>ROUND(H16*45%+I16*10%+VLOOKUP(G16,规则与说明!$A$6:$B$11,2,FALSE)*45%,1)</f>
        <v>80.599999999999994</v>
      </c>
      <c r="P16" s="7" t="s">
        <v>46</v>
      </c>
      <c r="Q16" s="1" t="s">
        <v>38</v>
      </c>
      <c r="R16" s="1" t="s">
        <v>26</v>
      </c>
    </row>
    <row r="17" spans="1:18" ht="15" hidden="1">
      <c r="A17" s="3">
        <v>13</v>
      </c>
      <c r="B17" s="1" t="s">
        <v>54</v>
      </c>
      <c r="C17" s="1" t="s">
        <v>21</v>
      </c>
      <c r="D17" s="1" t="s">
        <v>22</v>
      </c>
      <c r="E17" s="1">
        <v>1</v>
      </c>
      <c r="F17" s="1" t="s">
        <v>55</v>
      </c>
      <c r="G17" s="4">
        <v>3</v>
      </c>
      <c r="H17" s="5">
        <v>83</v>
      </c>
      <c r="I17" s="5">
        <v>84</v>
      </c>
      <c r="J17" s="5">
        <v>75</v>
      </c>
      <c r="K17" s="5">
        <v>88</v>
      </c>
      <c r="L17" s="5">
        <v>78</v>
      </c>
      <c r="M17" s="5">
        <v>69</v>
      </c>
      <c r="N17" s="6">
        <f>ROUND(H17*35%+I17*45%+VLOOKUP(G17,规则与说明!$A$6:$B$11,2,FALSE)*20%,1)</f>
        <v>82.7</v>
      </c>
      <c r="O17" s="6">
        <f>ROUND(H17*45%+I17*10%+VLOOKUP(G17,规则与说明!$A$6:$B$11,2,FALSE)*45%,1)</f>
        <v>81.3</v>
      </c>
      <c r="P17" s="7" t="s">
        <v>56</v>
      </c>
      <c r="Q17" s="1" t="s">
        <v>38</v>
      </c>
      <c r="R17" s="1" t="s">
        <v>26</v>
      </c>
    </row>
    <row r="18" spans="1:18" ht="15" hidden="1">
      <c r="A18" s="3">
        <v>14</v>
      </c>
      <c r="B18" s="1" t="s">
        <v>57</v>
      </c>
      <c r="C18" s="1" t="s">
        <v>21</v>
      </c>
      <c r="D18" s="1" t="s">
        <v>22</v>
      </c>
      <c r="E18" s="1">
        <v>1</v>
      </c>
      <c r="F18" s="1" t="s">
        <v>58</v>
      </c>
      <c r="G18" s="4">
        <v>3</v>
      </c>
      <c r="H18" s="5">
        <v>86</v>
      </c>
      <c r="I18" s="5">
        <v>76</v>
      </c>
      <c r="J18" s="5">
        <v>80</v>
      </c>
      <c r="K18" s="5">
        <v>87</v>
      </c>
      <c r="L18" s="5">
        <v>80</v>
      </c>
      <c r="M18" s="5">
        <v>67</v>
      </c>
      <c r="N18" s="6">
        <f>ROUND(H18*35%+I18*45%+VLOOKUP(G18,规则与说明!$A$6:$B$11,2,FALSE)*20%,1)</f>
        <v>80.099999999999994</v>
      </c>
      <c r="O18" s="6">
        <f>ROUND(H18*45%+I18*10%+VLOOKUP(G18,规则与说明!$A$6:$B$11,2,FALSE)*45%,1)</f>
        <v>81.900000000000006</v>
      </c>
      <c r="P18" s="7" t="s">
        <v>46</v>
      </c>
      <c r="Q18" s="1" t="s">
        <v>38</v>
      </c>
      <c r="R18" s="1" t="s">
        <v>26</v>
      </c>
    </row>
    <row r="19" spans="1:18" ht="15" hidden="1">
      <c r="A19" s="3">
        <v>15</v>
      </c>
      <c r="B19" s="1" t="s">
        <v>59</v>
      </c>
      <c r="C19" s="1" t="s">
        <v>21</v>
      </c>
      <c r="D19" s="1" t="s">
        <v>22</v>
      </c>
      <c r="E19" s="1">
        <v>1</v>
      </c>
      <c r="F19" s="1" t="s">
        <v>60</v>
      </c>
      <c r="G19" s="4">
        <v>3</v>
      </c>
      <c r="H19" s="5">
        <v>85</v>
      </c>
      <c r="I19" s="5">
        <v>78</v>
      </c>
      <c r="J19" s="5">
        <v>77</v>
      </c>
      <c r="K19" s="5">
        <v>85</v>
      </c>
      <c r="L19" s="5">
        <v>77</v>
      </c>
      <c r="M19" s="5">
        <v>68</v>
      </c>
      <c r="N19" s="6">
        <f>ROUND(H19*35%+I19*45%+VLOOKUP(G19,规则与说明!$A$6:$B$11,2,FALSE)*20%,1)</f>
        <v>80.7</v>
      </c>
      <c r="O19" s="6">
        <f>ROUND(H19*45%+I19*10%+VLOOKUP(G19,规则与说明!$A$6:$B$11,2,FALSE)*45%,1)</f>
        <v>81.599999999999994</v>
      </c>
      <c r="P19" s="7" t="s">
        <v>46</v>
      </c>
      <c r="Q19" s="1" t="s">
        <v>38</v>
      </c>
      <c r="R19" s="1" t="s">
        <v>26</v>
      </c>
    </row>
    <row r="20" spans="1:18" ht="15" hidden="1">
      <c r="A20" s="3">
        <v>16</v>
      </c>
      <c r="B20" s="1" t="s">
        <v>61</v>
      </c>
      <c r="C20" s="1" t="s">
        <v>21</v>
      </c>
      <c r="D20" s="1" t="s">
        <v>22</v>
      </c>
      <c r="E20" s="1">
        <v>1</v>
      </c>
      <c r="F20" s="1" t="s">
        <v>62</v>
      </c>
      <c r="G20" s="4">
        <v>4</v>
      </c>
      <c r="H20" s="5">
        <v>75</v>
      </c>
      <c r="I20" s="5">
        <v>69</v>
      </c>
      <c r="J20" s="5">
        <v>66</v>
      </c>
      <c r="K20" s="5">
        <v>73</v>
      </c>
      <c r="L20" s="5">
        <v>70</v>
      </c>
      <c r="M20" s="5">
        <v>74</v>
      </c>
      <c r="N20" s="6">
        <f>ROUND(H20*35%+I20*45%+VLOOKUP(G20,规则与说明!$A$6:$B$11,2,FALSE)*20%,1)</f>
        <v>71.3</v>
      </c>
      <c r="O20" s="6">
        <f>ROUND(H20*45%+I20*10%+VLOOKUP(G20,规则与说明!$A$6:$B$11,2,FALSE)*45%,1)</f>
        <v>72.2</v>
      </c>
      <c r="P20" s="7" t="s">
        <v>46</v>
      </c>
      <c r="Q20" s="1" t="s">
        <v>38</v>
      </c>
      <c r="R20" s="1" t="s">
        <v>26</v>
      </c>
    </row>
    <row r="21" spans="1:18" ht="15" hidden="1">
      <c r="A21" s="3">
        <v>17</v>
      </c>
      <c r="B21" s="1" t="s">
        <v>63</v>
      </c>
      <c r="C21" s="1" t="s">
        <v>21</v>
      </c>
      <c r="D21" s="1" t="s">
        <v>22</v>
      </c>
      <c r="E21" s="1">
        <v>1</v>
      </c>
      <c r="F21" s="1" t="s">
        <v>64</v>
      </c>
      <c r="G21" s="4">
        <v>4</v>
      </c>
      <c r="H21" s="5">
        <v>78</v>
      </c>
      <c r="I21" s="5">
        <v>75</v>
      </c>
      <c r="J21" s="5">
        <v>68</v>
      </c>
      <c r="K21" s="5">
        <v>71</v>
      </c>
      <c r="L21" s="5">
        <v>70</v>
      </c>
      <c r="M21" s="5">
        <v>73</v>
      </c>
      <c r="N21" s="6">
        <f>ROUND(H21*35%+I21*45%+VLOOKUP(G21,规则与说明!$A$6:$B$11,2,FALSE)*20%,1)</f>
        <v>75.099999999999994</v>
      </c>
      <c r="O21" s="6">
        <f>ROUND(H21*45%+I21*10%+VLOOKUP(G21,规则与说明!$A$6:$B$11,2,FALSE)*45%,1)</f>
        <v>74.099999999999994</v>
      </c>
      <c r="P21" s="7" t="s">
        <v>46</v>
      </c>
      <c r="Q21" s="1" t="s">
        <v>38</v>
      </c>
      <c r="R21" s="1" t="s">
        <v>26</v>
      </c>
    </row>
    <row r="22" spans="1:18" ht="15" hidden="1">
      <c r="A22" s="3">
        <v>18</v>
      </c>
      <c r="B22" s="1" t="s">
        <v>65</v>
      </c>
      <c r="C22" s="1" t="s">
        <v>21</v>
      </c>
      <c r="D22" s="1" t="s">
        <v>22</v>
      </c>
      <c r="E22" s="1">
        <v>1</v>
      </c>
      <c r="F22" s="1" t="s">
        <v>66</v>
      </c>
      <c r="G22" s="4">
        <v>4</v>
      </c>
      <c r="H22" s="5">
        <v>75</v>
      </c>
      <c r="I22" s="5">
        <v>70</v>
      </c>
      <c r="J22" s="5">
        <v>68</v>
      </c>
      <c r="K22" s="5">
        <v>73</v>
      </c>
      <c r="L22" s="5">
        <v>69</v>
      </c>
      <c r="M22" s="5">
        <v>73</v>
      </c>
      <c r="N22" s="6">
        <f>ROUND(H22*35%+I22*45%+VLOOKUP(G22,规则与说明!$A$6:$B$11,2,FALSE)*20%,1)</f>
        <v>71.8</v>
      </c>
      <c r="O22" s="6">
        <f>ROUND(H22*45%+I22*10%+VLOOKUP(G22,规则与说明!$A$6:$B$11,2,FALSE)*45%,1)</f>
        <v>72.3</v>
      </c>
      <c r="P22" s="7" t="s">
        <v>46</v>
      </c>
      <c r="Q22" s="1" t="s">
        <v>38</v>
      </c>
      <c r="R22" s="1" t="s">
        <v>26</v>
      </c>
    </row>
    <row r="23" spans="1:18" ht="15" hidden="1">
      <c r="A23" s="3">
        <v>19</v>
      </c>
      <c r="B23" s="1" t="s">
        <v>67</v>
      </c>
      <c r="C23" s="1" t="s">
        <v>21</v>
      </c>
      <c r="D23" s="1" t="s">
        <v>22</v>
      </c>
      <c r="E23" s="1">
        <v>1</v>
      </c>
      <c r="F23" s="1" t="s">
        <v>68</v>
      </c>
      <c r="G23" s="4">
        <v>4</v>
      </c>
      <c r="H23" s="5">
        <v>75</v>
      </c>
      <c r="I23" s="5">
        <v>72</v>
      </c>
      <c r="J23" s="5">
        <v>69</v>
      </c>
      <c r="K23" s="5">
        <v>76</v>
      </c>
      <c r="L23" s="5">
        <v>69</v>
      </c>
      <c r="M23" s="5">
        <v>72</v>
      </c>
      <c r="N23" s="6">
        <f>ROUND(H23*35%+I23*45%+VLOOKUP(G23,规则与说明!$A$6:$B$11,2,FALSE)*20%,1)</f>
        <v>72.7</v>
      </c>
      <c r="O23" s="6">
        <f>ROUND(H23*45%+I23*10%+VLOOKUP(G23,规则与说明!$A$6:$B$11,2,FALSE)*45%,1)</f>
        <v>72.5</v>
      </c>
      <c r="P23" s="7" t="s">
        <v>46</v>
      </c>
      <c r="Q23" s="1" t="s">
        <v>38</v>
      </c>
      <c r="R23" s="1" t="s">
        <v>26</v>
      </c>
    </row>
    <row r="24" spans="1:18" ht="15" hidden="1">
      <c r="A24" s="3">
        <v>20</v>
      </c>
      <c r="B24" s="1" t="s">
        <v>69</v>
      </c>
      <c r="C24" s="1" t="s">
        <v>21</v>
      </c>
      <c r="D24" s="1" t="s">
        <v>22</v>
      </c>
      <c r="E24" s="1">
        <v>1</v>
      </c>
      <c r="F24" s="1" t="s">
        <v>70</v>
      </c>
      <c r="G24" s="4">
        <v>4</v>
      </c>
      <c r="H24" s="5">
        <v>77</v>
      </c>
      <c r="I24" s="5">
        <v>72</v>
      </c>
      <c r="J24" s="5">
        <v>69</v>
      </c>
      <c r="K24" s="5">
        <v>75</v>
      </c>
      <c r="L24" s="5">
        <v>69</v>
      </c>
      <c r="M24" s="5">
        <v>77</v>
      </c>
      <c r="N24" s="6">
        <f>ROUND(H24*35%+I24*45%+VLOOKUP(G24,规则与说明!$A$6:$B$11,2,FALSE)*20%,1)</f>
        <v>73.400000000000006</v>
      </c>
      <c r="O24" s="6">
        <f>ROUND(H24*45%+I24*10%+VLOOKUP(G24,规则与说明!$A$6:$B$11,2,FALSE)*45%,1)</f>
        <v>73.400000000000006</v>
      </c>
      <c r="P24" s="7" t="s">
        <v>46</v>
      </c>
      <c r="Q24" s="1" t="s">
        <v>38</v>
      </c>
      <c r="R24" s="1" t="s">
        <v>26</v>
      </c>
    </row>
    <row r="25" spans="1:18" ht="15" hidden="1">
      <c r="A25" s="3">
        <v>21</v>
      </c>
      <c r="B25" s="1" t="s">
        <v>71</v>
      </c>
      <c r="C25" s="1" t="s">
        <v>21</v>
      </c>
      <c r="D25" s="1" t="s">
        <v>72</v>
      </c>
      <c r="E25" s="1">
        <v>2</v>
      </c>
      <c r="F25" s="1" t="s">
        <v>73</v>
      </c>
      <c r="G25" s="4">
        <v>4</v>
      </c>
      <c r="H25" s="5">
        <v>74</v>
      </c>
      <c r="I25" s="5">
        <v>71</v>
      </c>
      <c r="J25" s="5">
        <v>63</v>
      </c>
      <c r="K25" s="5">
        <v>71</v>
      </c>
      <c r="L25" s="5">
        <v>71</v>
      </c>
      <c r="M25" s="5">
        <v>68</v>
      </c>
      <c r="N25" s="6">
        <f>ROUND(H25*35%+I25*45%+VLOOKUP(G25,规则与说明!$A$6:$B$11,2,FALSE)*20%,1)</f>
        <v>71.900000000000006</v>
      </c>
      <c r="O25" s="6">
        <f>ROUND(H25*45%+I25*10%+VLOOKUP(G25,规则与说明!$A$6:$B$11,2,FALSE)*45%,1)</f>
        <v>71.900000000000006</v>
      </c>
      <c r="P25" s="7" t="s">
        <v>46</v>
      </c>
      <c r="Q25" s="1" t="s">
        <v>38</v>
      </c>
      <c r="R25" s="1" t="s">
        <v>74</v>
      </c>
    </row>
    <row r="26" spans="1:18" ht="15" hidden="1">
      <c r="A26" s="3">
        <v>22</v>
      </c>
      <c r="B26" s="1" t="s">
        <v>75</v>
      </c>
      <c r="C26" s="1" t="s">
        <v>21</v>
      </c>
      <c r="D26" s="1" t="s">
        <v>72</v>
      </c>
      <c r="E26" s="1">
        <v>2</v>
      </c>
      <c r="F26" s="1" t="s">
        <v>76</v>
      </c>
      <c r="G26" s="4">
        <v>4</v>
      </c>
      <c r="H26" s="5">
        <v>75</v>
      </c>
      <c r="I26" s="5">
        <v>66</v>
      </c>
      <c r="J26" s="5">
        <v>65</v>
      </c>
      <c r="K26" s="5">
        <v>73</v>
      </c>
      <c r="L26" s="5">
        <v>70</v>
      </c>
      <c r="M26" s="5">
        <v>71</v>
      </c>
      <c r="N26" s="6">
        <f>ROUND(H26*35%+I26*45%+VLOOKUP(G26,规则与说明!$A$6:$B$11,2,FALSE)*20%,1)</f>
        <v>70</v>
      </c>
      <c r="O26" s="6">
        <f>ROUND(H26*45%+I26*10%+VLOOKUP(G26,规则与说明!$A$6:$B$11,2,FALSE)*45%,1)</f>
        <v>71.900000000000006</v>
      </c>
      <c r="P26" s="7" t="s">
        <v>46</v>
      </c>
      <c r="Q26" s="1" t="s">
        <v>38</v>
      </c>
      <c r="R26" s="1" t="s">
        <v>74</v>
      </c>
    </row>
    <row r="27" spans="1:18" ht="15" hidden="1">
      <c r="A27" s="3">
        <v>23</v>
      </c>
      <c r="B27" s="1" t="s">
        <v>77</v>
      </c>
      <c r="C27" s="1" t="s">
        <v>21</v>
      </c>
      <c r="D27" s="1" t="s">
        <v>72</v>
      </c>
      <c r="E27" s="1">
        <v>2</v>
      </c>
      <c r="F27" s="1" t="s">
        <v>78</v>
      </c>
      <c r="G27" s="4">
        <v>4</v>
      </c>
      <c r="H27" s="5">
        <v>73</v>
      </c>
      <c r="I27" s="5">
        <v>70</v>
      </c>
      <c r="J27" s="5">
        <v>68</v>
      </c>
      <c r="K27" s="5">
        <v>71</v>
      </c>
      <c r="L27" s="5">
        <v>71</v>
      </c>
      <c r="M27" s="5">
        <v>68</v>
      </c>
      <c r="N27" s="6">
        <f>ROUND(H27*35%+I27*45%+VLOOKUP(G27,规则与说明!$A$6:$B$11,2,FALSE)*20%,1)</f>
        <v>71.099999999999994</v>
      </c>
      <c r="O27" s="6">
        <f>ROUND(H27*45%+I27*10%+VLOOKUP(G27,规则与说明!$A$6:$B$11,2,FALSE)*45%,1)</f>
        <v>71.400000000000006</v>
      </c>
      <c r="P27" s="7" t="s">
        <v>46</v>
      </c>
      <c r="Q27" s="1" t="s">
        <v>38</v>
      </c>
      <c r="R27" s="1" t="s">
        <v>74</v>
      </c>
    </row>
    <row r="28" spans="1:18" ht="15" hidden="1">
      <c r="A28" s="3">
        <v>24</v>
      </c>
      <c r="B28" s="1" t="s">
        <v>79</v>
      </c>
      <c r="C28" s="1" t="s">
        <v>21</v>
      </c>
      <c r="D28" s="1" t="s">
        <v>72</v>
      </c>
      <c r="E28" s="1">
        <v>2</v>
      </c>
      <c r="F28" s="1" t="s">
        <v>80</v>
      </c>
      <c r="G28" s="4">
        <v>4</v>
      </c>
      <c r="H28" s="5">
        <v>74</v>
      </c>
      <c r="I28" s="5">
        <v>72</v>
      </c>
      <c r="J28" s="5">
        <v>63</v>
      </c>
      <c r="K28" s="5">
        <v>70</v>
      </c>
      <c r="L28" s="5">
        <v>69</v>
      </c>
      <c r="M28" s="5">
        <v>68</v>
      </c>
      <c r="N28" s="6">
        <f>ROUND(H28*35%+I28*45%+VLOOKUP(G28,规则与说明!$A$6:$B$11,2,FALSE)*20%,1)</f>
        <v>72.3</v>
      </c>
      <c r="O28" s="6">
        <f>ROUND(H28*45%+I28*10%+VLOOKUP(G28,规则与说明!$A$6:$B$11,2,FALSE)*45%,1)</f>
        <v>72</v>
      </c>
      <c r="P28" s="7" t="s">
        <v>46</v>
      </c>
      <c r="Q28" s="1" t="s">
        <v>38</v>
      </c>
      <c r="R28" s="1" t="s">
        <v>74</v>
      </c>
    </row>
    <row r="29" spans="1:18" ht="15" hidden="1">
      <c r="A29" s="3">
        <v>25</v>
      </c>
      <c r="B29" s="1" t="s">
        <v>81</v>
      </c>
      <c r="C29" s="1" t="s">
        <v>21</v>
      </c>
      <c r="D29" s="1" t="s">
        <v>72</v>
      </c>
      <c r="E29" s="1">
        <v>2</v>
      </c>
      <c r="F29" s="1" t="s">
        <v>82</v>
      </c>
      <c r="G29" s="4">
        <v>4</v>
      </c>
      <c r="H29" s="5">
        <v>86</v>
      </c>
      <c r="I29" s="5">
        <v>78</v>
      </c>
      <c r="J29" s="5">
        <v>84</v>
      </c>
      <c r="K29" s="5">
        <v>88</v>
      </c>
      <c r="L29" s="5">
        <v>74</v>
      </c>
      <c r="M29" s="5">
        <v>62</v>
      </c>
      <c r="N29" s="6">
        <f>ROUND(H29*35%+I29*45%+VLOOKUP(G29,规则与说明!$A$6:$B$11,2,FALSE)*20%,1)</f>
        <v>79.2</v>
      </c>
      <c r="O29" s="6">
        <f>ROUND(H29*45%+I29*10%+VLOOKUP(G29,规则与说明!$A$6:$B$11,2,FALSE)*45%,1)</f>
        <v>78</v>
      </c>
      <c r="P29" s="7" t="s">
        <v>56</v>
      </c>
      <c r="Q29" s="1" t="s">
        <v>25</v>
      </c>
      <c r="R29" s="1" t="s">
        <v>74</v>
      </c>
    </row>
    <row r="30" spans="1:18" ht="15" hidden="1">
      <c r="A30" s="3">
        <v>26</v>
      </c>
      <c r="B30" s="1" t="s">
        <v>83</v>
      </c>
      <c r="C30" s="1" t="s">
        <v>21</v>
      </c>
      <c r="D30" s="1" t="s">
        <v>72</v>
      </c>
      <c r="E30" s="1">
        <v>2</v>
      </c>
      <c r="F30" s="1" t="s">
        <v>84</v>
      </c>
      <c r="G30" s="4">
        <v>4</v>
      </c>
      <c r="H30" s="5">
        <v>77</v>
      </c>
      <c r="I30" s="5">
        <v>71</v>
      </c>
      <c r="J30" s="5">
        <v>66</v>
      </c>
      <c r="K30" s="5">
        <v>67</v>
      </c>
      <c r="L30" s="5">
        <v>72</v>
      </c>
      <c r="M30" s="5">
        <v>73</v>
      </c>
      <c r="N30" s="6">
        <f>ROUND(H30*35%+I30*45%+VLOOKUP(G30,规则与说明!$A$6:$B$11,2,FALSE)*20%,1)</f>
        <v>72.900000000000006</v>
      </c>
      <c r="O30" s="6">
        <f>ROUND(H30*45%+I30*10%+VLOOKUP(G30,规则与说明!$A$6:$B$11,2,FALSE)*45%,1)</f>
        <v>73.3</v>
      </c>
      <c r="P30" s="7" t="s">
        <v>46</v>
      </c>
      <c r="Q30" s="1" t="s">
        <v>38</v>
      </c>
      <c r="R30" s="1" t="s">
        <v>74</v>
      </c>
    </row>
    <row r="31" spans="1:18" ht="15" hidden="1">
      <c r="A31" s="3">
        <v>27</v>
      </c>
      <c r="B31" s="1" t="s">
        <v>85</v>
      </c>
      <c r="C31" s="1" t="s">
        <v>21</v>
      </c>
      <c r="D31" s="1" t="s">
        <v>72</v>
      </c>
      <c r="E31" s="1">
        <v>2</v>
      </c>
      <c r="F31" s="1" t="s">
        <v>86</v>
      </c>
      <c r="G31" s="4">
        <v>5</v>
      </c>
      <c r="H31" s="5">
        <v>64</v>
      </c>
      <c r="I31" s="5">
        <v>64</v>
      </c>
      <c r="J31" s="5">
        <v>57</v>
      </c>
      <c r="K31" s="5">
        <v>59</v>
      </c>
      <c r="L31" s="5">
        <v>66</v>
      </c>
      <c r="M31" s="5">
        <v>77</v>
      </c>
      <c r="N31" s="6">
        <f>ROUND(H31*35%+I31*45%+VLOOKUP(G31,规则与说明!$A$6:$B$11,2,FALSE)*20%,1)</f>
        <v>63.2</v>
      </c>
      <c r="O31" s="6">
        <f>ROUND(H31*45%+I31*10%+VLOOKUP(G31,规则与说明!$A$6:$B$11,2,FALSE)*45%,1)</f>
        <v>62.2</v>
      </c>
      <c r="P31" s="7" t="s">
        <v>46</v>
      </c>
      <c r="Q31" s="1" t="s">
        <v>38</v>
      </c>
      <c r="R31" s="1" t="s">
        <v>74</v>
      </c>
    </row>
    <row r="32" spans="1:18" ht="15" hidden="1">
      <c r="A32" s="3">
        <v>28</v>
      </c>
      <c r="B32" s="1" t="s">
        <v>87</v>
      </c>
      <c r="C32" s="1" t="s">
        <v>21</v>
      </c>
      <c r="D32" s="1" t="s">
        <v>72</v>
      </c>
      <c r="E32" s="1">
        <v>2</v>
      </c>
      <c r="F32" s="1" t="s">
        <v>88</v>
      </c>
      <c r="G32" s="4">
        <v>5</v>
      </c>
      <c r="H32" s="5">
        <v>67</v>
      </c>
      <c r="I32" s="5">
        <v>65</v>
      </c>
      <c r="J32" s="5">
        <v>56</v>
      </c>
      <c r="K32" s="5">
        <v>60</v>
      </c>
      <c r="L32" s="5">
        <v>65</v>
      </c>
      <c r="M32" s="5">
        <v>75</v>
      </c>
      <c r="N32" s="6">
        <f>ROUND(H32*35%+I32*45%+VLOOKUP(G32,规则与说明!$A$6:$B$11,2,FALSE)*20%,1)</f>
        <v>64.7</v>
      </c>
      <c r="O32" s="6">
        <f>ROUND(H32*45%+I32*10%+VLOOKUP(G32,规则与说明!$A$6:$B$11,2,FALSE)*45%,1)</f>
        <v>63.7</v>
      </c>
      <c r="P32" s="7" t="s">
        <v>46</v>
      </c>
      <c r="Q32" s="1" t="s">
        <v>38</v>
      </c>
      <c r="R32" s="1" t="s">
        <v>74</v>
      </c>
    </row>
    <row r="33" spans="1:18" ht="15" hidden="1">
      <c r="A33" s="3">
        <v>29</v>
      </c>
      <c r="B33" s="1" t="s">
        <v>89</v>
      </c>
      <c r="C33" s="1" t="s">
        <v>21</v>
      </c>
      <c r="D33" s="1" t="s">
        <v>72</v>
      </c>
      <c r="E33" s="1">
        <v>2</v>
      </c>
      <c r="F33" s="1" t="s">
        <v>90</v>
      </c>
      <c r="G33" s="4">
        <v>5</v>
      </c>
      <c r="H33" s="5">
        <v>65</v>
      </c>
      <c r="I33" s="5">
        <v>65</v>
      </c>
      <c r="J33" s="5">
        <v>54</v>
      </c>
      <c r="K33" s="5">
        <v>57</v>
      </c>
      <c r="L33" s="5">
        <v>62</v>
      </c>
      <c r="M33" s="5">
        <v>74</v>
      </c>
      <c r="N33" s="6">
        <f>ROUND(H33*35%+I33*45%+VLOOKUP(G33,规则与说明!$A$6:$B$11,2,FALSE)*20%,1)</f>
        <v>64</v>
      </c>
      <c r="O33" s="6">
        <f>ROUND(H33*45%+I33*10%+VLOOKUP(G33,规则与说明!$A$6:$B$11,2,FALSE)*45%,1)</f>
        <v>62.8</v>
      </c>
      <c r="P33" s="7" t="s">
        <v>91</v>
      </c>
      <c r="Q33" s="1" t="s">
        <v>38</v>
      </c>
      <c r="R33" s="1" t="s">
        <v>74</v>
      </c>
    </row>
    <row r="34" spans="1:18" ht="15" hidden="1">
      <c r="A34" s="3">
        <v>30</v>
      </c>
      <c r="B34" s="1" t="s">
        <v>92</v>
      </c>
      <c r="C34" s="1" t="s">
        <v>21</v>
      </c>
      <c r="D34" s="1" t="s">
        <v>72</v>
      </c>
      <c r="E34" s="1">
        <v>2</v>
      </c>
      <c r="F34" s="1" t="s">
        <v>93</v>
      </c>
      <c r="G34" s="4">
        <v>5</v>
      </c>
      <c r="H34" s="5">
        <v>63</v>
      </c>
      <c r="I34" s="5">
        <v>65</v>
      </c>
      <c r="J34" s="5">
        <v>53</v>
      </c>
      <c r="K34" s="5">
        <v>59</v>
      </c>
      <c r="L34" s="5">
        <v>66</v>
      </c>
      <c r="M34" s="5">
        <v>75</v>
      </c>
      <c r="N34" s="6">
        <f>ROUND(H34*35%+I34*45%+VLOOKUP(G34,规则与说明!$A$6:$B$11,2,FALSE)*20%,1)</f>
        <v>63.3</v>
      </c>
      <c r="O34" s="6">
        <f>ROUND(H34*45%+I34*10%+VLOOKUP(G34,规则与说明!$A$6:$B$11,2,FALSE)*45%,1)</f>
        <v>61.9</v>
      </c>
      <c r="P34" s="7" t="s">
        <v>46</v>
      </c>
      <c r="Q34" s="1" t="s">
        <v>38</v>
      </c>
      <c r="R34" s="1" t="s">
        <v>74</v>
      </c>
    </row>
    <row r="35" spans="1:18" ht="15" hidden="1">
      <c r="A35" s="3">
        <v>31</v>
      </c>
      <c r="B35" s="1" t="s">
        <v>94</v>
      </c>
      <c r="C35" s="1" t="s">
        <v>21</v>
      </c>
      <c r="D35" s="1" t="s">
        <v>72</v>
      </c>
      <c r="E35" s="1">
        <v>2</v>
      </c>
      <c r="F35" s="1" t="s">
        <v>95</v>
      </c>
      <c r="G35" s="4">
        <v>5</v>
      </c>
      <c r="H35" s="5">
        <v>66</v>
      </c>
      <c r="I35" s="5">
        <v>61</v>
      </c>
      <c r="J35" s="5">
        <v>57</v>
      </c>
      <c r="K35" s="5">
        <v>60</v>
      </c>
      <c r="L35" s="5">
        <v>65</v>
      </c>
      <c r="M35" s="5">
        <v>77</v>
      </c>
      <c r="N35" s="6">
        <f>ROUND(H35*35%+I35*45%+VLOOKUP(G35,规则与说明!$A$6:$B$11,2,FALSE)*20%,1)</f>
        <v>62.6</v>
      </c>
      <c r="O35" s="6">
        <f>ROUND(H35*45%+I35*10%+VLOOKUP(G35,规则与说明!$A$6:$B$11,2,FALSE)*45%,1)</f>
        <v>62.8</v>
      </c>
      <c r="P35" s="7" t="s">
        <v>46</v>
      </c>
      <c r="Q35" s="1" t="s">
        <v>38</v>
      </c>
      <c r="R35" s="1" t="s">
        <v>74</v>
      </c>
    </row>
    <row r="36" spans="1:18" ht="15" hidden="1">
      <c r="A36" s="3">
        <v>32</v>
      </c>
      <c r="B36" s="1" t="s">
        <v>96</v>
      </c>
      <c r="C36" s="1" t="s">
        <v>21</v>
      </c>
      <c r="D36" s="1" t="s">
        <v>72</v>
      </c>
      <c r="E36" s="1">
        <v>2</v>
      </c>
      <c r="F36" s="1" t="s">
        <v>97</v>
      </c>
      <c r="G36" s="4">
        <v>5</v>
      </c>
      <c r="H36" s="5">
        <v>67</v>
      </c>
      <c r="I36" s="5">
        <v>65</v>
      </c>
      <c r="J36" s="5">
        <v>57</v>
      </c>
      <c r="K36" s="5">
        <v>56</v>
      </c>
      <c r="L36" s="5">
        <v>64</v>
      </c>
      <c r="M36" s="5">
        <v>72</v>
      </c>
      <c r="N36" s="6">
        <f>ROUND(H36*35%+I36*45%+VLOOKUP(G36,规则与说明!$A$6:$B$11,2,FALSE)*20%,1)</f>
        <v>64.7</v>
      </c>
      <c r="O36" s="6">
        <f>ROUND(H36*45%+I36*10%+VLOOKUP(G36,规则与说明!$A$6:$B$11,2,FALSE)*45%,1)</f>
        <v>63.7</v>
      </c>
      <c r="P36" s="7" t="s">
        <v>46</v>
      </c>
      <c r="Q36" s="1" t="s">
        <v>38</v>
      </c>
      <c r="R36" s="1" t="s">
        <v>74</v>
      </c>
    </row>
    <row r="37" spans="1:18" ht="15" hidden="1">
      <c r="A37" s="3">
        <v>33</v>
      </c>
      <c r="B37" s="1" t="s">
        <v>98</v>
      </c>
      <c r="C37" s="1" t="s">
        <v>21</v>
      </c>
      <c r="D37" s="1" t="s">
        <v>72</v>
      </c>
      <c r="E37" s="1">
        <v>2</v>
      </c>
      <c r="F37" s="1" t="s">
        <v>99</v>
      </c>
      <c r="G37" s="4">
        <v>5</v>
      </c>
      <c r="H37" s="5">
        <v>64</v>
      </c>
      <c r="I37" s="5">
        <v>65</v>
      </c>
      <c r="J37" s="5">
        <v>56</v>
      </c>
      <c r="K37" s="5">
        <v>55</v>
      </c>
      <c r="L37" s="5">
        <v>62</v>
      </c>
      <c r="M37" s="5">
        <v>79</v>
      </c>
      <c r="N37" s="6">
        <f>ROUND(H37*35%+I37*45%+VLOOKUP(G37,规则与说明!$A$6:$B$11,2,FALSE)*20%,1)</f>
        <v>63.7</v>
      </c>
      <c r="O37" s="6">
        <f>ROUND(H37*45%+I37*10%+VLOOKUP(G37,规则与说明!$A$6:$B$11,2,FALSE)*45%,1)</f>
        <v>62.3</v>
      </c>
      <c r="P37" s="7" t="s">
        <v>91</v>
      </c>
      <c r="Q37" s="1" t="s">
        <v>38</v>
      </c>
      <c r="R37" s="1" t="s">
        <v>74</v>
      </c>
    </row>
    <row r="38" spans="1:18" ht="15" hidden="1">
      <c r="A38" s="3">
        <v>34</v>
      </c>
      <c r="B38" s="1" t="s">
        <v>100</v>
      </c>
      <c r="C38" s="1" t="s">
        <v>21</v>
      </c>
      <c r="D38" s="1" t="s">
        <v>72</v>
      </c>
      <c r="E38" s="1">
        <v>2</v>
      </c>
      <c r="F38" s="1" t="s">
        <v>101</v>
      </c>
      <c r="G38" s="4">
        <v>5</v>
      </c>
      <c r="H38" s="5">
        <v>66</v>
      </c>
      <c r="I38" s="5">
        <v>62</v>
      </c>
      <c r="J38" s="5">
        <v>53</v>
      </c>
      <c r="K38" s="5">
        <v>55</v>
      </c>
      <c r="L38" s="5">
        <v>65</v>
      </c>
      <c r="M38" s="5">
        <v>75</v>
      </c>
      <c r="N38" s="6">
        <f>ROUND(H38*35%+I38*45%+VLOOKUP(G38,规则与说明!$A$6:$B$11,2,FALSE)*20%,1)</f>
        <v>63</v>
      </c>
      <c r="O38" s="6">
        <f>ROUND(H38*45%+I38*10%+VLOOKUP(G38,规则与说明!$A$6:$B$11,2,FALSE)*45%,1)</f>
        <v>62.9</v>
      </c>
      <c r="P38" s="7" t="s">
        <v>46</v>
      </c>
      <c r="Q38" s="1" t="s">
        <v>38</v>
      </c>
      <c r="R38" s="1" t="s">
        <v>74</v>
      </c>
    </row>
    <row r="39" spans="1:18" ht="15" hidden="1">
      <c r="A39" s="3">
        <v>35</v>
      </c>
      <c r="B39" s="1" t="s">
        <v>102</v>
      </c>
      <c r="C39" s="1" t="s">
        <v>21</v>
      </c>
      <c r="D39" s="1" t="s">
        <v>72</v>
      </c>
      <c r="E39" s="1">
        <v>2</v>
      </c>
      <c r="F39" s="1" t="s">
        <v>103</v>
      </c>
      <c r="G39" s="4">
        <v>5</v>
      </c>
      <c r="H39" s="5">
        <v>66</v>
      </c>
      <c r="I39" s="5">
        <v>64</v>
      </c>
      <c r="J39" s="5">
        <v>54</v>
      </c>
      <c r="K39" s="5">
        <v>59</v>
      </c>
      <c r="L39" s="5">
        <v>63</v>
      </c>
      <c r="M39" s="5">
        <v>79</v>
      </c>
      <c r="N39" s="6">
        <f>ROUND(H39*35%+I39*45%+VLOOKUP(G39,规则与说明!$A$6:$B$11,2,FALSE)*20%,1)</f>
        <v>63.9</v>
      </c>
      <c r="O39" s="6">
        <f>ROUND(H39*45%+I39*10%+VLOOKUP(G39,规则与说明!$A$6:$B$11,2,FALSE)*45%,1)</f>
        <v>63.1</v>
      </c>
      <c r="P39" s="7" t="s">
        <v>46</v>
      </c>
      <c r="Q39" s="1" t="s">
        <v>38</v>
      </c>
      <c r="R39" s="1" t="s">
        <v>74</v>
      </c>
    </row>
    <row r="40" spans="1:18" ht="15" hidden="1">
      <c r="A40" s="3">
        <v>36</v>
      </c>
      <c r="B40" s="1" t="s">
        <v>104</v>
      </c>
      <c r="C40" s="1" t="s">
        <v>21</v>
      </c>
      <c r="D40" s="1" t="s">
        <v>72</v>
      </c>
      <c r="E40" s="1">
        <v>2</v>
      </c>
      <c r="F40" s="1" t="s">
        <v>105</v>
      </c>
      <c r="G40" s="4">
        <v>5</v>
      </c>
      <c r="H40" s="5">
        <v>67</v>
      </c>
      <c r="I40" s="5">
        <v>58</v>
      </c>
      <c r="J40" s="5">
        <v>55</v>
      </c>
      <c r="K40" s="5">
        <v>56</v>
      </c>
      <c r="L40" s="5">
        <v>65</v>
      </c>
      <c r="M40" s="5">
        <v>71</v>
      </c>
      <c r="N40" s="6">
        <f>ROUND(H40*35%+I40*45%+VLOOKUP(G40,规则与说明!$A$6:$B$11,2,FALSE)*20%,1)</f>
        <v>61.6</v>
      </c>
      <c r="O40" s="6">
        <f>ROUND(H40*45%+I40*10%+VLOOKUP(G40,规则与说明!$A$6:$B$11,2,FALSE)*45%,1)</f>
        <v>63</v>
      </c>
      <c r="P40" s="7" t="s">
        <v>46</v>
      </c>
      <c r="Q40" s="1" t="s">
        <v>38</v>
      </c>
      <c r="R40" s="1" t="s">
        <v>74</v>
      </c>
    </row>
    <row r="41" spans="1:18" ht="15" hidden="1">
      <c r="A41" s="3">
        <v>37</v>
      </c>
      <c r="B41" s="1" t="s">
        <v>106</v>
      </c>
      <c r="C41" s="1" t="s">
        <v>21</v>
      </c>
      <c r="D41" s="1" t="s">
        <v>72</v>
      </c>
      <c r="E41" s="1">
        <v>2</v>
      </c>
      <c r="F41" s="1" t="s">
        <v>107</v>
      </c>
      <c r="G41" s="4">
        <v>5</v>
      </c>
      <c r="H41" s="5">
        <v>67</v>
      </c>
      <c r="I41" s="5">
        <v>60</v>
      </c>
      <c r="J41" s="5">
        <v>53</v>
      </c>
      <c r="K41" s="5">
        <v>57</v>
      </c>
      <c r="L41" s="5">
        <v>63</v>
      </c>
      <c r="M41" s="5">
        <v>73</v>
      </c>
      <c r="N41" s="6">
        <f>ROUND(H41*35%+I41*45%+VLOOKUP(G41,规则与说明!$A$6:$B$11,2,FALSE)*20%,1)</f>
        <v>62.5</v>
      </c>
      <c r="O41" s="6">
        <f>ROUND(H41*45%+I41*10%+VLOOKUP(G41,规则与说明!$A$6:$B$11,2,FALSE)*45%,1)</f>
        <v>63.2</v>
      </c>
      <c r="P41" s="7" t="s">
        <v>46</v>
      </c>
      <c r="Q41" s="1" t="s">
        <v>38</v>
      </c>
      <c r="R41" s="1" t="s">
        <v>74</v>
      </c>
    </row>
    <row r="42" spans="1:18" ht="15" hidden="1">
      <c r="A42" s="3">
        <v>38</v>
      </c>
      <c r="B42" s="1" t="s">
        <v>108</v>
      </c>
      <c r="C42" s="1" t="s">
        <v>21</v>
      </c>
      <c r="D42" s="1" t="s">
        <v>72</v>
      </c>
      <c r="E42" s="1">
        <v>2</v>
      </c>
      <c r="F42" s="1" t="s">
        <v>109</v>
      </c>
      <c r="G42" s="4">
        <v>5</v>
      </c>
      <c r="H42" s="5">
        <v>66</v>
      </c>
      <c r="I42" s="5">
        <v>59</v>
      </c>
      <c r="J42" s="5">
        <v>54</v>
      </c>
      <c r="K42" s="5">
        <v>61</v>
      </c>
      <c r="L42" s="5">
        <v>63</v>
      </c>
      <c r="M42" s="5">
        <v>73</v>
      </c>
      <c r="N42" s="6">
        <f>ROUND(H42*35%+I42*45%+VLOOKUP(G42,规则与说明!$A$6:$B$11,2,FALSE)*20%,1)</f>
        <v>61.7</v>
      </c>
      <c r="O42" s="6">
        <f>ROUND(H42*45%+I42*10%+VLOOKUP(G42,规则与说明!$A$6:$B$11,2,FALSE)*45%,1)</f>
        <v>62.6</v>
      </c>
      <c r="P42" s="7" t="s">
        <v>46</v>
      </c>
      <c r="Q42" s="1" t="s">
        <v>38</v>
      </c>
      <c r="R42" s="1" t="s">
        <v>74</v>
      </c>
    </row>
    <row r="43" spans="1:18" ht="15" hidden="1">
      <c r="A43" s="3">
        <v>39</v>
      </c>
      <c r="B43" s="1" t="s">
        <v>110</v>
      </c>
      <c r="C43" s="1" t="s">
        <v>21</v>
      </c>
      <c r="D43" s="1" t="s">
        <v>72</v>
      </c>
      <c r="E43" s="1">
        <v>2</v>
      </c>
      <c r="F43" s="1" t="s">
        <v>111</v>
      </c>
      <c r="G43" s="4">
        <v>5</v>
      </c>
      <c r="H43" s="5">
        <v>64</v>
      </c>
      <c r="I43" s="5">
        <v>66</v>
      </c>
      <c r="J43" s="5">
        <v>55</v>
      </c>
      <c r="K43" s="5">
        <v>58</v>
      </c>
      <c r="L43" s="5">
        <v>65</v>
      </c>
      <c r="M43" s="5">
        <v>75</v>
      </c>
      <c r="N43" s="6">
        <f>ROUND(H43*35%+I43*45%+VLOOKUP(G43,规则与说明!$A$6:$B$11,2,FALSE)*20%,1)</f>
        <v>64.099999999999994</v>
      </c>
      <c r="O43" s="6">
        <f>ROUND(H43*45%+I43*10%+VLOOKUP(G43,规则与说明!$A$6:$B$11,2,FALSE)*45%,1)</f>
        <v>62.4</v>
      </c>
      <c r="P43" s="7" t="s">
        <v>46</v>
      </c>
      <c r="Q43" s="1" t="s">
        <v>38</v>
      </c>
      <c r="R43" s="1" t="s">
        <v>74</v>
      </c>
    </row>
    <row r="44" spans="1:18" ht="15" hidden="1">
      <c r="A44" s="3">
        <v>40</v>
      </c>
      <c r="B44" s="1" t="s">
        <v>112</v>
      </c>
      <c r="C44" s="1" t="s">
        <v>21</v>
      </c>
      <c r="D44" s="1" t="s">
        <v>72</v>
      </c>
      <c r="E44" s="1">
        <v>2</v>
      </c>
      <c r="F44" s="1" t="s">
        <v>113</v>
      </c>
      <c r="G44" s="4">
        <v>5</v>
      </c>
      <c r="H44" s="5">
        <v>67</v>
      </c>
      <c r="I44" s="5">
        <v>64</v>
      </c>
      <c r="J44" s="5">
        <v>58</v>
      </c>
      <c r="K44" s="5">
        <v>58</v>
      </c>
      <c r="L44" s="5">
        <v>64</v>
      </c>
      <c r="M44" s="5">
        <v>78</v>
      </c>
      <c r="N44" s="6">
        <f>ROUND(H44*35%+I44*45%+VLOOKUP(G44,规则与说明!$A$6:$B$11,2,FALSE)*20%,1)</f>
        <v>64.3</v>
      </c>
      <c r="O44" s="6">
        <f>ROUND(H44*45%+I44*10%+VLOOKUP(G44,规则与说明!$A$6:$B$11,2,FALSE)*45%,1)</f>
        <v>63.6</v>
      </c>
      <c r="P44" s="7" t="s">
        <v>46</v>
      </c>
      <c r="Q44" s="1" t="s">
        <v>38</v>
      </c>
      <c r="R44" s="1" t="s">
        <v>74</v>
      </c>
    </row>
    <row r="45" spans="1:18" ht="15" hidden="1">
      <c r="A45" s="3">
        <v>41</v>
      </c>
      <c r="B45" s="1" t="s">
        <v>114</v>
      </c>
      <c r="C45" s="1" t="s">
        <v>21</v>
      </c>
      <c r="D45" s="1" t="s">
        <v>72</v>
      </c>
      <c r="E45" s="1">
        <v>2</v>
      </c>
      <c r="F45" s="1" t="s">
        <v>115</v>
      </c>
      <c r="G45" s="4">
        <v>5</v>
      </c>
      <c r="H45" s="5">
        <v>66</v>
      </c>
      <c r="I45" s="5">
        <v>60</v>
      </c>
      <c r="J45" s="5">
        <v>52</v>
      </c>
      <c r="K45" s="5">
        <v>60</v>
      </c>
      <c r="L45" s="5">
        <v>65</v>
      </c>
      <c r="M45" s="5">
        <v>76</v>
      </c>
      <c r="N45" s="6">
        <f>ROUND(H45*35%+I45*45%+VLOOKUP(G45,规则与说明!$A$6:$B$11,2,FALSE)*20%,1)</f>
        <v>62.1</v>
      </c>
      <c r="O45" s="6">
        <f>ROUND(H45*45%+I45*10%+VLOOKUP(G45,规则与说明!$A$6:$B$11,2,FALSE)*45%,1)</f>
        <v>62.7</v>
      </c>
      <c r="P45" s="7" t="s">
        <v>46</v>
      </c>
      <c r="Q45" s="1" t="s">
        <v>38</v>
      </c>
      <c r="R45" s="1" t="s">
        <v>74</v>
      </c>
    </row>
    <row r="46" spans="1:18" ht="15" hidden="1">
      <c r="A46" s="3">
        <v>42</v>
      </c>
      <c r="B46" s="1" t="s">
        <v>116</v>
      </c>
      <c r="C46" s="1" t="s">
        <v>21</v>
      </c>
      <c r="D46" s="1" t="s">
        <v>72</v>
      </c>
      <c r="E46" s="1">
        <v>2</v>
      </c>
      <c r="F46" s="1" t="s">
        <v>117</v>
      </c>
      <c r="G46" s="4">
        <v>5</v>
      </c>
      <c r="H46" s="5">
        <v>65</v>
      </c>
      <c r="I46" s="5">
        <v>59</v>
      </c>
      <c r="J46" s="5">
        <v>55</v>
      </c>
      <c r="K46" s="5">
        <v>58</v>
      </c>
      <c r="L46" s="5">
        <v>66</v>
      </c>
      <c r="M46" s="5">
        <v>77</v>
      </c>
      <c r="N46" s="6">
        <f>ROUND(H46*35%+I46*45%+VLOOKUP(G46,规则与说明!$A$6:$B$11,2,FALSE)*20%,1)</f>
        <v>61.3</v>
      </c>
      <c r="O46" s="6">
        <f>ROUND(H46*45%+I46*10%+VLOOKUP(G46,规则与说明!$A$6:$B$11,2,FALSE)*45%,1)</f>
        <v>62.2</v>
      </c>
      <c r="P46" s="7" t="s">
        <v>46</v>
      </c>
      <c r="Q46" s="1" t="s">
        <v>38</v>
      </c>
      <c r="R46" s="1" t="s">
        <v>74</v>
      </c>
    </row>
    <row r="47" spans="1:18" ht="15" hidden="1">
      <c r="A47" s="3">
        <v>43</v>
      </c>
      <c r="B47" s="1" t="s">
        <v>118</v>
      </c>
      <c r="C47" s="1" t="s">
        <v>21</v>
      </c>
      <c r="D47" s="1" t="s">
        <v>72</v>
      </c>
      <c r="E47" s="1">
        <v>2</v>
      </c>
      <c r="F47" s="1" t="s">
        <v>119</v>
      </c>
      <c r="G47" s="4">
        <v>5</v>
      </c>
      <c r="H47" s="5">
        <v>65</v>
      </c>
      <c r="I47" s="5">
        <v>61</v>
      </c>
      <c r="J47" s="5">
        <v>54</v>
      </c>
      <c r="K47" s="5">
        <v>56</v>
      </c>
      <c r="L47" s="5">
        <v>62</v>
      </c>
      <c r="M47" s="5">
        <v>78</v>
      </c>
      <c r="N47" s="6">
        <f>ROUND(H47*35%+I47*45%+VLOOKUP(G47,规则与说明!$A$6:$B$11,2,FALSE)*20%,1)</f>
        <v>62.2</v>
      </c>
      <c r="O47" s="6">
        <f>ROUND(H47*45%+I47*10%+VLOOKUP(G47,规则与说明!$A$6:$B$11,2,FALSE)*45%,1)</f>
        <v>62.4</v>
      </c>
      <c r="P47" s="7" t="s">
        <v>91</v>
      </c>
      <c r="Q47" s="1" t="s">
        <v>38</v>
      </c>
      <c r="R47" s="1" t="s">
        <v>74</v>
      </c>
    </row>
    <row r="48" spans="1:18" ht="15" hidden="1">
      <c r="A48" s="3">
        <v>44</v>
      </c>
      <c r="B48" s="1" t="s">
        <v>120</v>
      </c>
      <c r="C48" s="1" t="s">
        <v>21</v>
      </c>
      <c r="D48" s="1" t="s">
        <v>72</v>
      </c>
      <c r="E48" s="1">
        <v>2</v>
      </c>
      <c r="F48" s="1" t="s">
        <v>121</v>
      </c>
      <c r="G48" s="4">
        <v>5</v>
      </c>
      <c r="H48" s="5">
        <v>64</v>
      </c>
      <c r="I48" s="5">
        <v>65</v>
      </c>
      <c r="J48" s="5">
        <v>56</v>
      </c>
      <c r="K48" s="5">
        <v>57</v>
      </c>
      <c r="L48" s="5">
        <v>65</v>
      </c>
      <c r="M48" s="5">
        <v>79</v>
      </c>
      <c r="N48" s="6">
        <f>ROUND(H48*35%+I48*45%+VLOOKUP(G48,规则与说明!$A$6:$B$11,2,FALSE)*20%,1)</f>
        <v>63.7</v>
      </c>
      <c r="O48" s="6">
        <f>ROUND(H48*45%+I48*10%+VLOOKUP(G48,规则与说明!$A$6:$B$11,2,FALSE)*45%,1)</f>
        <v>62.3</v>
      </c>
      <c r="P48" s="7" t="s">
        <v>46</v>
      </c>
      <c r="Q48" s="1" t="s">
        <v>38</v>
      </c>
      <c r="R48" s="1" t="s">
        <v>74</v>
      </c>
    </row>
    <row r="49" spans="1:18" ht="30" hidden="1">
      <c r="A49" s="3">
        <v>45</v>
      </c>
      <c r="B49" s="1" t="s">
        <v>122</v>
      </c>
      <c r="C49" s="1" t="s">
        <v>123</v>
      </c>
      <c r="D49" s="1" t="s">
        <v>124</v>
      </c>
      <c r="E49" s="1">
        <v>1</v>
      </c>
      <c r="F49" s="1" t="s">
        <v>125</v>
      </c>
      <c r="G49" s="4">
        <v>1</v>
      </c>
      <c r="H49" s="5">
        <v>94</v>
      </c>
      <c r="I49" s="5">
        <v>98</v>
      </c>
      <c r="J49" s="5">
        <v>98</v>
      </c>
      <c r="K49" s="5">
        <v>98</v>
      </c>
      <c r="L49" s="5">
        <v>89</v>
      </c>
      <c r="M49" s="5">
        <v>92</v>
      </c>
      <c r="N49" s="6">
        <f>ROUND(H49*35%+I49*45%+VLOOKUP(G49,规则与说明!$A$6:$B$11,2,FALSE)*20%,1)</f>
        <v>95.8</v>
      </c>
      <c r="O49" s="6">
        <f>ROUND(H49*45%+I49*10%+VLOOKUP(G49,规则与说明!$A$6:$B$11,2,FALSE)*45%,1)</f>
        <v>94.4</v>
      </c>
      <c r="P49" s="7" t="s">
        <v>126</v>
      </c>
      <c r="Q49" s="1" t="s">
        <v>25</v>
      </c>
      <c r="R49" s="1" t="s">
        <v>127</v>
      </c>
    </row>
    <row r="50" spans="1:18" ht="30" hidden="1">
      <c r="A50" s="3">
        <v>46</v>
      </c>
      <c r="B50" s="1" t="s">
        <v>128</v>
      </c>
      <c r="C50" s="1" t="s">
        <v>123</v>
      </c>
      <c r="D50" s="1" t="s">
        <v>124</v>
      </c>
      <c r="E50" s="1">
        <v>1</v>
      </c>
      <c r="F50" s="1" t="s">
        <v>129</v>
      </c>
      <c r="G50" s="4">
        <v>1</v>
      </c>
      <c r="H50" s="5">
        <v>98</v>
      </c>
      <c r="I50" s="5">
        <v>95</v>
      </c>
      <c r="J50" s="5">
        <v>95</v>
      </c>
      <c r="K50" s="5">
        <v>98</v>
      </c>
      <c r="L50" s="5">
        <v>89</v>
      </c>
      <c r="M50" s="5">
        <v>74</v>
      </c>
      <c r="N50" s="6">
        <f>ROUND(H50*35%+I50*45%+VLOOKUP(G50,规则与说明!$A$6:$B$11,2,FALSE)*20%,1)</f>
        <v>95.9</v>
      </c>
      <c r="O50" s="6">
        <f>ROUND(H50*45%+I50*10%+VLOOKUP(G50,规则与说明!$A$6:$B$11,2,FALSE)*45%,1)</f>
        <v>95.9</v>
      </c>
      <c r="P50" s="7" t="s">
        <v>24</v>
      </c>
      <c r="Q50" s="1" t="s">
        <v>25</v>
      </c>
      <c r="R50" s="1" t="s">
        <v>127</v>
      </c>
    </row>
    <row r="51" spans="1:18" ht="15" hidden="1">
      <c r="A51" s="3">
        <v>47</v>
      </c>
      <c r="B51" s="1" t="s">
        <v>130</v>
      </c>
      <c r="C51" s="1" t="s">
        <v>123</v>
      </c>
      <c r="D51" s="1" t="s">
        <v>124</v>
      </c>
      <c r="E51" s="1">
        <v>1</v>
      </c>
      <c r="F51" s="1" t="s">
        <v>131</v>
      </c>
      <c r="G51" s="4">
        <v>2</v>
      </c>
      <c r="H51" s="5">
        <v>88</v>
      </c>
      <c r="I51" s="5">
        <v>95</v>
      </c>
      <c r="J51" s="5">
        <v>80</v>
      </c>
      <c r="K51" s="5">
        <v>86</v>
      </c>
      <c r="L51" s="5">
        <v>80</v>
      </c>
      <c r="M51" s="5">
        <v>91</v>
      </c>
      <c r="N51" s="6">
        <f>ROUND(H51*35%+I51*45%+VLOOKUP(G51,规则与说明!$A$6:$B$11,2,FALSE)*20%,1)</f>
        <v>91</v>
      </c>
      <c r="O51" s="6">
        <f>ROUND(H51*45%+I51*10%+VLOOKUP(G51,规则与说明!$A$6:$B$11,2,FALSE)*45%,1)</f>
        <v>88.3</v>
      </c>
      <c r="P51" s="7" t="s">
        <v>132</v>
      </c>
      <c r="Q51" s="1" t="s">
        <v>25</v>
      </c>
      <c r="R51" s="1" t="s">
        <v>127</v>
      </c>
    </row>
    <row r="52" spans="1:18" ht="15" hidden="1">
      <c r="A52" s="3">
        <v>48</v>
      </c>
      <c r="B52" s="1" t="s">
        <v>133</v>
      </c>
      <c r="C52" s="1" t="s">
        <v>123</v>
      </c>
      <c r="D52" s="1" t="s">
        <v>124</v>
      </c>
      <c r="E52" s="1">
        <v>1</v>
      </c>
      <c r="F52" s="1" t="s">
        <v>134</v>
      </c>
      <c r="G52" s="4">
        <v>2</v>
      </c>
      <c r="H52" s="5">
        <v>89</v>
      </c>
      <c r="I52" s="5">
        <v>85</v>
      </c>
      <c r="J52" s="5">
        <v>86</v>
      </c>
      <c r="K52" s="5">
        <v>87</v>
      </c>
      <c r="L52" s="5">
        <v>79</v>
      </c>
      <c r="M52" s="5">
        <v>71</v>
      </c>
      <c r="N52" s="6">
        <f>ROUND(H52*35%+I52*45%+VLOOKUP(G52,规则与说明!$A$6:$B$11,2,FALSE)*20%,1)</f>
        <v>86.8</v>
      </c>
      <c r="O52" s="6">
        <f>ROUND(H52*45%+I52*10%+VLOOKUP(G52,规则与说明!$A$6:$B$11,2,FALSE)*45%,1)</f>
        <v>87.7</v>
      </c>
      <c r="P52" s="7" t="s">
        <v>135</v>
      </c>
      <c r="Q52" s="1" t="s">
        <v>38</v>
      </c>
      <c r="R52" s="1" t="s">
        <v>127</v>
      </c>
    </row>
    <row r="53" spans="1:18" ht="15" hidden="1">
      <c r="A53" s="3">
        <v>49</v>
      </c>
      <c r="B53" s="1" t="s">
        <v>136</v>
      </c>
      <c r="C53" s="1" t="s">
        <v>123</v>
      </c>
      <c r="D53" s="1" t="s">
        <v>124</v>
      </c>
      <c r="E53" s="1">
        <v>1</v>
      </c>
      <c r="F53" s="1" t="s">
        <v>137</v>
      </c>
      <c r="G53" s="4">
        <v>2</v>
      </c>
      <c r="H53" s="5">
        <v>91</v>
      </c>
      <c r="I53" s="5">
        <v>86</v>
      </c>
      <c r="J53" s="5">
        <v>82</v>
      </c>
      <c r="K53" s="5">
        <v>89</v>
      </c>
      <c r="L53" s="5">
        <v>80</v>
      </c>
      <c r="M53" s="5">
        <v>74</v>
      </c>
      <c r="N53" s="6">
        <f>ROUND(H53*35%+I53*45%+VLOOKUP(G53,规则与说明!$A$6:$B$11,2,FALSE)*20%,1)</f>
        <v>88</v>
      </c>
      <c r="O53" s="6">
        <f>ROUND(H53*45%+I53*10%+VLOOKUP(G53,规则与说明!$A$6:$B$11,2,FALSE)*45%,1)</f>
        <v>88.7</v>
      </c>
      <c r="P53" s="7" t="s">
        <v>138</v>
      </c>
      <c r="Q53" s="1" t="s">
        <v>38</v>
      </c>
      <c r="R53" s="1" t="s">
        <v>127</v>
      </c>
    </row>
    <row r="54" spans="1:18" ht="15" hidden="1">
      <c r="A54" s="3">
        <v>50</v>
      </c>
      <c r="B54" s="1" t="s">
        <v>139</v>
      </c>
      <c r="C54" s="1" t="s">
        <v>123</v>
      </c>
      <c r="D54" s="1" t="s">
        <v>124</v>
      </c>
      <c r="E54" s="1">
        <v>1</v>
      </c>
      <c r="F54" s="1" t="s">
        <v>140</v>
      </c>
      <c r="G54" s="4">
        <v>2</v>
      </c>
      <c r="H54" s="5">
        <v>91</v>
      </c>
      <c r="I54" s="5">
        <v>89</v>
      </c>
      <c r="J54" s="5">
        <v>81</v>
      </c>
      <c r="K54" s="5">
        <v>87</v>
      </c>
      <c r="L54" s="5">
        <v>80</v>
      </c>
      <c r="M54" s="5">
        <v>84</v>
      </c>
      <c r="N54" s="6">
        <f>ROUND(H54*35%+I54*45%+VLOOKUP(G54,规则与说明!$A$6:$B$11,2,FALSE)*20%,1)</f>
        <v>89.3</v>
      </c>
      <c r="O54" s="6">
        <f>ROUND(H54*45%+I54*10%+VLOOKUP(G54,规则与说明!$A$6:$B$11,2,FALSE)*45%,1)</f>
        <v>89</v>
      </c>
      <c r="P54" s="7" t="s">
        <v>141</v>
      </c>
      <c r="Q54" s="1" t="s">
        <v>25</v>
      </c>
      <c r="R54" s="1" t="s">
        <v>127</v>
      </c>
    </row>
    <row r="55" spans="1:18" ht="15" hidden="1">
      <c r="A55" s="3">
        <v>51</v>
      </c>
      <c r="B55" s="1" t="s">
        <v>142</v>
      </c>
      <c r="C55" s="1" t="s">
        <v>123</v>
      </c>
      <c r="D55" s="1" t="s">
        <v>124</v>
      </c>
      <c r="E55" s="1">
        <v>1</v>
      </c>
      <c r="F55" s="1" t="s">
        <v>143</v>
      </c>
      <c r="G55" s="4">
        <v>3</v>
      </c>
      <c r="H55" s="5">
        <v>81</v>
      </c>
      <c r="I55" s="5">
        <v>81</v>
      </c>
      <c r="J55" s="5">
        <v>73</v>
      </c>
      <c r="K55" s="5">
        <v>81</v>
      </c>
      <c r="L55" s="5">
        <v>77</v>
      </c>
      <c r="M55" s="5">
        <v>72</v>
      </c>
      <c r="N55" s="6">
        <f>ROUND(H55*35%+I55*45%+VLOOKUP(G55,规则与说明!$A$6:$B$11,2,FALSE)*20%,1)</f>
        <v>80.599999999999994</v>
      </c>
      <c r="O55" s="6">
        <f>ROUND(H55*45%+I55*10%+VLOOKUP(G55,规则与说明!$A$6:$B$11,2,FALSE)*45%,1)</f>
        <v>80.099999999999994</v>
      </c>
      <c r="P55" s="7" t="s">
        <v>46</v>
      </c>
      <c r="Q55" s="1" t="s">
        <v>38</v>
      </c>
      <c r="R55" s="1" t="s">
        <v>127</v>
      </c>
    </row>
    <row r="56" spans="1:18" ht="15" hidden="1">
      <c r="A56" s="3">
        <v>52</v>
      </c>
      <c r="B56" s="1" t="s">
        <v>144</v>
      </c>
      <c r="C56" s="1" t="s">
        <v>123</v>
      </c>
      <c r="D56" s="1" t="s">
        <v>124</v>
      </c>
      <c r="E56" s="1">
        <v>1</v>
      </c>
      <c r="F56" s="1" t="s">
        <v>145</v>
      </c>
      <c r="G56" s="4">
        <v>3</v>
      </c>
      <c r="H56" s="5">
        <v>80</v>
      </c>
      <c r="I56" s="5">
        <v>81</v>
      </c>
      <c r="J56" s="5">
        <v>73</v>
      </c>
      <c r="K56" s="5">
        <v>81</v>
      </c>
      <c r="L56" s="5">
        <v>78</v>
      </c>
      <c r="M56" s="5">
        <v>69</v>
      </c>
      <c r="N56" s="6">
        <f>ROUND(H56*35%+I56*45%+VLOOKUP(G56,规则与说明!$A$6:$B$11,2,FALSE)*20%,1)</f>
        <v>80.3</v>
      </c>
      <c r="O56" s="6">
        <f>ROUND(H56*45%+I56*10%+VLOOKUP(G56,规则与说明!$A$6:$B$11,2,FALSE)*45%,1)</f>
        <v>79.7</v>
      </c>
      <c r="P56" s="7" t="s">
        <v>46</v>
      </c>
      <c r="Q56" s="1" t="s">
        <v>38</v>
      </c>
      <c r="R56" s="1" t="s">
        <v>127</v>
      </c>
    </row>
    <row r="57" spans="1:18" ht="15" hidden="1">
      <c r="A57" s="3">
        <v>53</v>
      </c>
      <c r="B57" s="1" t="s">
        <v>146</v>
      </c>
      <c r="C57" s="1" t="s">
        <v>123</v>
      </c>
      <c r="D57" s="1" t="s">
        <v>124</v>
      </c>
      <c r="E57" s="1">
        <v>1</v>
      </c>
      <c r="F57" s="1" t="s">
        <v>147</v>
      </c>
      <c r="G57" s="4">
        <v>3</v>
      </c>
      <c r="H57" s="5">
        <v>84</v>
      </c>
      <c r="I57" s="5">
        <v>83</v>
      </c>
      <c r="J57" s="5">
        <v>70</v>
      </c>
      <c r="K57" s="5">
        <v>82</v>
      </c>
      <c r="L57" s="5">
        <v>75</v>
      </c>
      <c r="M57" s="5">
        <v>70</v>
      </c>
      <c r="N57" s="6">
        <f>ROUND(H57*35%+I57*45%+VLOOKUP(G57,规则与说明!$A$6:$B$11,2,FALSE)*20%,1)</f>
        <v>82.6</v>
      </c>
      <c r="O57" s="6">
        <f>ROUND(H57*45%+I57*10%+VLOOKUP(G57,规则与说明!$A$6:$B$11,2,FALSE)*45%,1)</f>
        <v>81.7</v>
      </c>
      <c r="P57" s="7" t="s">
        <v>46</v>
      </c>
      <c r="Q57" s="1" t="s">
        <v>38</v>
      </c>
      <c r="R57" s="1" t="s">
        <v>127</v>
      </c>
    </row>
    <row r="58" spans="1:18" ht="15" hidden="1">
      <c r="A58" s="3">
        <v>54</v>
      </c>
      <c r="B58" s="1" t="s">
        <v>148</v>
      </c>
      <c r="C58" s="1" t="s">
        <v>123</v>
      </c>
      <c r="D58" s="1" t="s">
        <v>124</v>
      </c>
      <c r="E58" s="1">
        <v>1</v>
      </c>
      <c r="F58" s="1" t="s">
        <v>149</v>
      </c>
      <c r="G58" s="4">
        <v>3</v>
      </c>
      <c r="H58" s="5">
        <v>81</v>
      </c>
      <c r="I58" s="5">
        <v>83</v>
      </c>
      <c r="J58" s="5">
        <v>76</v>
      </c>
      <c r="K58" s="5">
        <v>79</v>
      </c>
      <c r="L58" s="5">
        <v>75</v>
      </c>
      <c r="M58" s="5">
        <v>75</v>
      </c>
      <c r="N58" s="6">
        <f>ROUND(H58*35%+I58*45%+VLOOKUP(G58,规则与说明!$A$6:$B$11,2,FALSE)*20%,1)</f>
        <v>81.5</v>
      </c>
      <c r="O58" s="6">
        <f>ROUND(H58*45%+I58*10%+VLOOKUP(G58,规则与说明!$A$6:$B$11,2,FALSE)*45%,1)</f>
        <v>80.3</v>
      </c>
      <c r="P58" s="7" t="s">
        <v>46</v>
      </c>
      <c r="Q58" s="1" t="s">
        <v>38</v>
      </c>
      <c r="R58" s="1" t="s">
        <v>127</v>
      </c>
    </row>
    <row r="59" spans="1:18" ht="15" hidden="1">
      <c r="A59" s="3">
        <v>55</v>
      </c>
      <c r="B59" s="1" t="s">
        <v>150</v>
      </c>
      <c r="C59" s="1" t="s">
        <v>123</v>
      </c>
      <c r="D59" s="1" t="s">
        <v>124</v>
      </c>
      <c r="E59" s="1">
        <v>1</v>
      </c>
      <c r="F59" s="1" t="s">
        <v>151</v>
      </c>
      <c r="G59" s="4">
        <v>3</v>
      </c>
      <c r="H59" s="5">
        <v>81</v>
      </c>
      <c r="I59" s="5">
        <v>93</v>
      </c>
      <c r="J59" s="5">
        <v>74</v>
      </c>
      <c r="K59" s="5">
        <v>84</v>
      </c>
      <c r="L59" s="5">
        <v>76</v>
      </c>
      <c r="M59" s="5">
        <v>92</v>
      </c>
      <c r="N59" s="6">
        <f>ROUND(H59*35%+I59*45%+VLOOKUP(G59,规则与说明!$A$6:$B$11,2,FALSE)*20%,1)</f>
        <v>86</v>
      </c>
      <c r="O59" s="6">
        <f>ROUND(H59*45%+I59*10%+VLOOKUP(G59,规则与说明!$A$6:$B$11,2,FALSE)*45%,1)</f>
        <v>81.3</v>
      </c>
      <c r="P59" s="7" t="s">
        <v>132</v>
      </c>
      <c r="Q59" s="1" t="s">
        <v>25</v>
      </c>
      <c r="R59" s="1" t="s">
        <v>127</v>
      </c>
    </row>
    <row r="60" spans="1:18" ht="15" hidden="1">
      <c r="A60" s="3">
        <v>56</v>
      </c>
      <c r="B60" s="1" t="s">
        <v>152</v>
      </c>
      <c r="C60" s="1" t="s">
        <v>123</v>
      </c>
      <c r="D60" s="1" t="s">
        <v>124</v>
      </c>
      <c r="E60" s="1">
        <v>1</v>
      </c>
      <c r="F60" s="1" t="s">
        <v>153</v>
      </c>
      <c r="G60" s="4">
        <v>3</v>
      </c>
      <c r="H60" s="5">
        <v>83</v>
      </c>
      <c r="I60" s="5">
        <v>80</v>
      </c>
      <c r="J60" s="5">
        <v>72</v>
      </c>
      <c r="K60" s="5">
        <v>81</v>
      </c>
      <c r="L60" s="5">
        <v>79</v>
      </c>
      <c r="M60" s="5">
        <v>70</v>
      </c>
      <c r="N60" s="6">
        <f>ROUND(H60*35%+I60*45%+VLOOKUP(G60,规则与说明!$A$6:$B$11,2,FALSE)*20%,1)</f>
        <v>80.900000000000006</v>
      </c>
      <c r="O60" s="6">
        <f>ROUND(H60*45%+I60*10%+VLOOKUP(G60,规则与说明!$A$6:$B$11,2,FALSE)*45%,1)</f>
        <v>80.900000000000006</v>
      </c>
      <c r="P60" s="7" t="s">
        <v>46</v>
      </c>
      <c r="Q60" s="1" t="s">
        <v>38</v>
      </c>
      <c r="R60" s="1" t="s">
        <v>127</v>
      </c>
    </row>
    <row r="61" spans="1:18" ht="15" hidden="1">
      <c r="A61" s="3">
        <v>57</v>
      </c>
      <c r="B61" s="1" t="s">
        <v>154</v>
      </c>
      <c r="C61" s="1" t="s">
        <v>123</v>
      </c>
      <c r="D61" s="1" t="s">
        <v>124</v>
      </c>
      <c r="E61" s="1">
        <v>1</v>
      </c>
      <c r="F61" s="1" t="s">
        <v>155</v>
      </c>
      <c r="G61" s="4">
        <v>3</v>
      </c>
      <c r="H61" s="5">
        <v>80</v>
      </c>
      <c r="I61" s="5">
        <v>85</v>
      </c>
      <c r="J61" s="5">
        <v>76</v>
      </c>
      <c r="K61" s="5">
        <v>83</v>
      </c>
      <c r="L61" s="5">
        <v>77</v>
      </c>
      <c r="M61" s="5">
        <v>76</v>
      </c>
      <c r="N61" s="6">
        <f>ROUND(H61*35%+I61*45%+VLOOKUP(G61,规则与说明!$A$6:$B$11,2,FALSE)*20%,1)</f>
        <v>82.1</v>
      </c>
      <c r="O61" s="6">
        <f>ROUND(H61*45%+I61*10%+VLOOKUP(G61,规则与说明!$A$6:$B$11,2,FALSE)*45%,1)</f>
        <v>80.099999999999994</v>
      </c>
      <c r="P61" s="7" t="s">
        <v>46</v>
      </c>
      <c r="Q61" s="1" t="s">
        <v>38</v>
      </c>
      <c r="R61" s="1" t="s">
        <v>127</v>
      </c>
    </row>
    <row r="62" spans="1:18" ht="15" hidden="1">
      <c r="A62" s="3">
        <v>58</v>
      </c>
      <c r="B62" s="1" t="s">
        <v>156</v>
      </c>
      <c r="C62" s="1" t="s">
        <v>123</v>
      </c>
      <c r="D62" s="1" t="s">
        <v>124</v>
      </c>
      <c r="E62" s="1">
        <v>1</v>
      </c>
      <c r="F62" s="1" t="s">
        <v>157</v>
      </c>
      <c r="G62" s="4">
        <v>4</v>
      </c>
      <c r="H62" s="5">
        <v>76</v>
      </c>
      <c r="I62" s="5">
        <v>74</v>
      </c>
      <c r="J62" s="5">
        <v>62</v>
      </c>
      <c r="K62" s="5">
        <v>74</v>
      </c>
      <c r="L62" s="5">
        <v>72</v>
      </c>
      <c r="M62" s="5">
        <v>73</v>
      </c>
      <c r="N62" s="6">
        <f>ROUND(H62*35%+I62*45%+VLOOKUP(G62,规则与说明!$A$6:$B$11,2,FALSE)*20%,1)</f>
        <v>73.900000000000006</v>
      </c>
      <c r="O62" s="6">
        <f>ROUND(H62*45%+I62*10%+VLOOKUP(G62,规则与说明!$A$6:$B$11,2,FALSE)*45%,1)</f>
        <v>73.099999999999994</v>
      </c>
      <c r="P62" s="7" t="s">
        <v>46</v>
      </c>
      <c r="Q62" s="1" t="s">
        <v>38</v>
      </c>
      <c r="R62" s="1" t="s">
        <v>127</v>
      </c>
    </row>
    <row r="63" spans="1:18" ht="15" hidden="1">
      <c r="A63" s="3">
        <v>59</v>
      </c>
      <c r="B63" s="1" t="s">
        <v>158</v>
      </c>
      <c r="C63" s="1" t="s">
        <v>123</v>
      </c>
      <c r="D63" s="1" t="s">
        <v>124</v>
      </c>
      <c r="E63" s="1">
        <v>1</v>
      </c>
      <c r="F63" s="1" t="s">
        <v>159</v>
      </c>
      <c r="G63" s="4">
        <v>4</v>
      </c>
      <c r="H63" s="5">
        <v>74</v>
      </c>
      <c r="I63" s="5">
        <v>74</v>
      </c>
      <c r="J63" s="5">
        <v>63</v>
      </c>
      <c r="K63" s="5">
        <v>72</v>
      </c>
      <c r="L63" s="5">
        <v>71</v>
      </c>
      <c r="M63" s="5">
        <v>76</v>
      </c>
      <c r="N63" s="6">
        <f>ROUND(H63*35%+I63*45%+VLOOKUP(G63,规则与说明!$A$6:$B$11,2,FALSE)*20%,1)</f>
        <v>73.2</v>
      </c>
      <c r="O63" s="6">
        <f>ROUND(H63*45%+I63*10%+VLOOKUP(G63,规则与说明!$A$6:$B$11,2,FALSE)*45%,1)</f>
        <v>72.2</v>
      </c>
      <c r="P63" s="7" t="s">
        <v>46</v>
      </c>
      <c r="Q63" s="1" t="s">
        <v>38</v>
      </c>
      <c r="R63" s="1" t="s">
        <v>127</v>
      </c>
    </row>
    <row r="64" spans="1:18" ht="15" hidden="1">
      <c r="A64" s="3">
        <v>60</v>
      </c>
      <c r="B64" s="1" t="s">
        <v>160</v>
      </c>
      <c r="C64" s="1" t="s">
        <v>123</v>
      </c>
      <c r="D64" s="1" t="s">
        <v>124</v>
      </c>
      <c r="E64" s="1">
        <v>1</v>
      </c>
      <c r="F64" s="1" t="s">
        <v>161</v>
      </c>
      <c r="G64" s="4">
        <v>4</v>
      </c>
      <c r="H64" s="5">
        <v>75</v>
      </c>
      <c r="I64" s="5">
        <v>71</v>
      </c>
      <c r="J64" s="5">
        <v>63</v>
      </c>
      <c r="K64" s="5">
        <v>74</v>
      </c>
      <c r="L64" s="5">
        <v>72</v>
      </c>
      <c r="M64" s="5">
        <v>73</v>
      </c>
      <c r="N64" s="6">
        <f>ROUND(H64*35%+I64*45%+VLOOKUP(G64,规则与说明!$A$6:$B$11,2,FALSE)*20%,1)</f>
        <v>72.2</v>
      </c>
      <c r="O64" s="6">
        <f>ROUND(H64*45%+I64*10%+VLOOKUP(G64,规则与说明!$A$6:$B$11,2,FALSE)*45%,1)</f>
        <v>72.400000000000006</v>
      </c>
      <c r="P64" s="7" t="s">
        <v>46</v>
      </c>
      <c r="Q64" s="1" t="s">
        <v>38</v>
      </c>
      <c r="R64" s="1" t="s">
        <v>127</v>
      </c>
    </row>
    <row r="65" spans="1:18" ht="15" hidden="1">
      <c r="A65" s="3">
        <v>61</v>
      </c>
      <c r="B65" s="1" t="s">
        <v>162</v>
      </c>
      <c r="C65" s="1" t="s">
        <v>123</v>
      </c>
      <c r="D65" s="1" t="s">
        <v>124</v>
      </c>
      <c r="E65" s="1">
        <v>1</v>
      </c>
      <c r="F65" s="1" t="s">
        <v>163</v>
      </c>
      <c r="G65" s="4">
        <v>4</v>
      </c>
      <c r="H65" s="5">
        <v>75</v>
      </c>
      <c r="I65" s="5">
        <v>70</v>
      </c>
      <c r="J65" s="5">
        <v>59</v>
      </c>
      <c r="K65" s="5">
        <v>69</v>
      </c>
      <c r="L65" s="5">
        <v>70</v>
      </c>
      <c r="M65" s="5">
        <v>78</v>
      </c>
      <c r="N65" s="6">
        <f>ROUND(H65*35%+I65*45%+VLOOKUP(G65,规则与说明!$A$6:$B$11,2,FALSE)*20%,1)</f>
        <v>71.8</v>
      </c>
      <c r="O65" s="6">
        <f>ROUND(H65*45%+I65*10%+VLOOKUP(G65,规则与说明!$A$6:$B$11,2,FALSE)*45%,1)</f>
        <v>72.3</v>
      </c>
      <c r="P65" s="7" t="s">
        <v>46</v>
      </c>
      <c r="Q65" s="1" t="s">
        <v>38</v>
      </c>
      <c r="R65" s="1" t="s">
        <v>127</v>
      </c>
    </row>
    <row r="66" spans="1:18" ht="15" hidden="1">
      <c r="A66" s="3">
        <v>62</v>
      </c>
      <c r="B66" s="1" t="s">
        <v>164</v>
      </c>
      <c r="C66" s="1" t="s">
        <v>123</v>
      </c>
      <c r="D66" s="1" t="s">
        <v>124</v>
      </c>
      <c r="E66" s="1">
        <v>1</v>
      </c>
      <c r="F66" s="1" t="s">
        <v>165</v>
      </c>
      <c r="G66" s="4">
        <v>4</v>
      </c>
      <c r="H66" s="5">
        <v>74</v>
      </c>
      <c r="I66" s="5">
        <v>69</v>
      </c>
      <c r="J66" s="5">
        <v>61</v>
      </c>
      <c r="K66" s="5">
        <v>68</v>
      </c>
      <c r="L66" s="5">
        <v>71</v>
      </c>
      <c r="M66" s="5">
        <v>76</v>
      </c>
      <c r="N66" s="6">
        <f>ROUND(H66*35%+I66*45%+VLOOKUP(G66,规则与说明!$A$6:$B$11,2,FALSE)*20%,1)</f>
        <v>71</v>
      </c>
      <c r="O66" s="6">
        <f>ROUND(H66*45%+I66*10%+VLOOKUP(G66,规则与说明!$A$6:$B$11,2,FALSE)*45%,1)</f>
        <v>71.7</v>
      </c>
      <c r="P66" s="7" t="s">
        <v>46</v>
      </c>
      <c r="Q66" s="1" t="s">
        <v>38</v>
      </c>
      <c r="R66" s="1" t="s">
        <v>127</v>
      </c>
    </row>
    <row r="67" spans="1:18" ht="15" hidden="1">
      <c r="A67" s="3">
        <v>63</v>
      </c>
      <c r="B67" s="1" t="s">
        <v>166</v>
      </c>
      <c r="C67" s="1" t="s">
        <v>123</v>
      </c>
      <c r="D67" s="1" t="s">
        <v>124</v>
      </c>
      <c r="E67" s="1">
        <v>1</v>
      </c>
      <c r="F67" s="1" t="s">
        <v>167</v>
      </c>
      <c r="G67" s="4">
        <v>4</v>
      </c>
      <c r="H67" s="5">
        <v>74</v>
      </c>
      <c r="I67" s="5">
        <v>71</v>
      </c>
      <c r="J67" s="5">
        <v>60</v>
      </c>
      <c r="K67" s="5">
        <v>68</v>
      </c>
      <c r="L67" s="5">
        <v>71</v>
      </c>
      <c r="M67" s="5">
        <v>75</v>
      </c>
      <c r="N67" s="6">
        <f>ROUND(H67*35%+I67*45%+VLOOKUP(G67,规则与说明!$A$6:$B$11,2,FALSE)*20%,1)</f>
        <v>71.900000000000006</v>
      </c>
      <c r="O67" s="6">
        <f>ROUND(H67*45%+I67*10%+VLOOKUP(G67,规则与说明!$A$6:$B$11,2,FALSE)*45%,1)</f>
        <v>71.900000000000006</v>
      </c>
      <c r="P67" s="7" t="s">
        <v>46</v>
      </c>
      <c r="Q67" s="1" t="s">
        <v>38</v>
      </c>
      <c r="R67" s="1" t="s">
        <v>127</v>
      </c>
    </row>
    <row r="68" spans="1:18" ht="15" hidden="1">
      <c r="A68" s="3">
        <v>64</v>
      </c>
      <c r="B68" s="1" t="s">
        <v>168</v>
      </c>
      <c r="C68" s="1" t="s">
        <v>123</v>
      </c>
      <c r="D68" s="1" t="s">
        <v>124</v>
      </c>
      <c r="E68" s="1">
        <v>1</v>
      </c>
      <c r="F68" s="1" t="s">
        <v>169</v>
      </c>
      <c r="G68" s="4">
        <v>4</v>
      </c>
      <c r="H68" s="5">
        <v>73</v>
      </c>
      <c r="I68" s="5">
        <v>73</v>
      </c>
      <c r="J68" s="5">
        <v>64</v>
      </c>
      <c r="K68" s="5">
        <v>69</v>
      </c>
      <c r="L68" s="5">
        <v>71</v>
      </c>
      <c r="M68" s="5">
        <v>79</v>
      </c>
      <c r="N68" s="6">
        <f>ROUND(H68*35%+I68*45%+VLOOKUP(G68,规则与说明!$A$6:$B$11,2,FALSE)*20%,1)</f>
        <v>72.400000000000006</v>
      </c>
      <c r="O68" s="6">
        <f>ROUND(H68*45%+I68*10%+VLOOKUP(G68,规则与说明!$A$6:$B$11,2,FALSE)*45%,1)</f>
        <v>71.7</v>
      </c>
      <c r="P68" s="7" t="s">
        <v>46</v>
      </c>
      <c r="Q68" s="1" t="s">
        <v>38</v>
      </c>
      <c r="R68" s="1" t="s">
        <v>127</v>
      </c>
    </row>
    <row r="69" spans="1:18" ht="15" hidden="1">
      <c r="A69" s="3">
        <v>65</v>
      </c>
      <c r="B69" s="1" t="s">
        <v>170</v>
      </c>
      <c r="C69" s="1" t="s">
        <v>123</v>
      </c>
      <c r="D69" s="1" t="s">
        <v>171</v>
      </c>
      <c r="E69" s="1">
        <v>2</v>
      </c>
      <c r="F69" s="1" t="s">
        <v>172</v>
      </c>
      <c r="G69" s="4">
        <v>4</v>
      </c>
      <c r="H69" s="5">
        <v>75</v>
      </c>
      <c r="I69" s="5">
        <v>69</v>
      </c>
      <c r="J69" s="5">
        <v>55</v>
      </c>
      <c r="K69" s="5">
        <v>66</v>
      </c>
      <c r="L69" s="5">
        <v>68</v>
      </c>
      <c r="M69" s="5">
        <v>78</v>
      </c>
      <c r="N69" s="6">
        <f>ROUND(H69*35%+I69*45%+VLOOKUP(G69,规则与说明!$A$6:$B$11,2,FALSE)*20%,1)</f>
        <v>71.3</v>
      </c>
      <c r="O69" s="6">
        <f>ROUND(H69*45%+I69*10%+VLOOKUP(G69,规则与说明!$A$6:$B$11,2,FALSE)*45%,1)</f>
        <v>72.2</v>
      </c>
      <c r="P69" s="7" t="s">
        <v>46</v>
      </c>
      <c r="Q69" s="1" t="s">
        <v>38</v>
      </c>
      <c r="R69" s="1" t="s">
        <v>173</v>
      </c>
    </row>
    <row r="70" spans="1:18" ht="15" hidden="1">
      <c r="A70" s="3">
        <v>66</v>
      </c>
      <c r="B70" s="1" t="s">
        <v>174</v>
      </c>
      <c r="C70" s="1" t="s">
        <v>123</v>
      </c>
      <c r="D70" s="1" t="s">
        <v>171</v>
      </c>
      <c r="E70" s="1">
        <v>2</v>
      </c>
      <c r="F70" s="1" t="s">
        <v>175</v>
      </c>
      <c r="G70" s="4">
        <v>4</v>
      </c>
      <c r="H70" s="5">
        <v>75</v>
      </c>
      <c r="I70" s="5">
        <v>74</v>
      </c>
      <c r="J70" s="5">
        <v>55</v>
      </c>
      <c r="K70" s="5">
        <v>67</v>
      </c>
      <c r="L70" s="5">
        <v>70</v>
      </c>
      <c r="M70" s="5">
        <v>76</v>
      </c>
      <c r="N70" s="6">
        <f>ROUND(H70*35%+I70*45%+VLOOKUP(G70,规则与说明!$A$6:$B$11,2,FALSE)*20%,1)</f>
        <v>73.599999999999994</v>
      </c>
      <c r="O70" s="6">
        <f>ROUND(H70*45%+I70*10%+VLOOKUP(G70,规则与说明!$A$6:$B$11,2,FALSE)*45%,1)</f>
        <v>72.7</v>
      </c>
      <c r="P70" s="7" t="s">
        <v>46</v>
      </c>
      <c r="Q70" s="1" t="s">
        <v>38</v>
      </c>
      <c r="R70" s="1" t="s">
        <v>173</v>
      </c>
    </row>
    <row r="71" spans="1:18" ht="15" hidden="1">
      <c r="A71" s="3">
        <v>67</v>
      </c>
      <c r="B71" s="1" t="s">
        <v>176</v>
      </c>
      <c r="C71" s="1" t="s">
        <v>123</v>
      </c>
      <c r="D71" s="1" t="s">
        <v>171</v>
      </c>
      <c r="E71" s="1">
        <v>2</v>
      </c>
      <c r="F71" s="1" t="s">
        <v>177</v>
      </c>
      <c r="G71" s="4">
        <v>4</v>
      </c>
      <c r="H71" s="5">
        <v>71</v>
      </c>
      <c r="I71" s="5">
        <v>72</v>
      </c>
      <c r="J71" s="5">
        <v>56</v>
      </c>
      <c r="K71" s="5">
        <v>70</v>
      </c>
      <c r="L71" s="5">
        <v>68</v>
      </c>
      <c r="M71" s="5">
        <v>77</v>
      </c>
      <c r="N71" s="6">
        <f>ROUND(H71*35%+I71*45%+VLOOKUP(G71,规则与说明!$A$6:$B$11,2,FALSE)*20%,1)</f>
        <v>71.3</v>
      </c>
      <c r="O71" s="6">
        <f>ROUND(H71*45%+I71*10%+VLOOKUP(G71,规则与说明!$A$6:$B$11,2,FALSE)*45%,1)</f>
        <v>70.7</v>
      </c>
      <c r="P71" s="7" t="s">
        <v>46</v>
      </c>
      <c r="Q71" s="1" t="s">
        <v>38</v>
      </c>
      <c r="R71" s="1" t="s">
        <v>173</v>
      </c>
    </row>
    <row r="72" spans="1:18" ht="15" hidden="1">
      <c r="A72" s="3">
        <v>68</v>
      </c>
      <c r="B72" s="1" t="s">
        <v>178</v>
      </c>
      <c r="C72" s="1" t="s">
        <v>123</v>
      </c>
      <c r="D72" s="1" t="s">
        <v>171</v>
      </c>
      <c r="E72" s="1">
        <v>2</v>
      </c>
      <c r="F72" s="1" t="s">
        <v>179</v>
      </c>
      <c r="G72" s="4">
        <v>4</v>
      </c>
      <c r="H72" s="5">
        <v>73</v>
      </c>
      <c r="I72" s="5">
        <v>76</v>
      </c>
      <c r="J72" s="5">
        <v>58</v>
      </c>
      <c r="K72" s="5">
        <v>68</v>
      </c>
      <c r="L72" s="5">
        <v>71</v>
      </c>
      <c r="M72" s="5">
        <v>74</v>
      </c>
      <c r="N72" s="6">
        <f>ROUND(H72*35%+I72*45%+VLOOKUP(G72,规则与说明!$A$6:$B$11,2,FALSE)*20%,1)</f>
        <v>73.8</v>
      </c>
      <c r="O72" s="6">
        <f>ROUND(H72*45%+I72*10%+VLOOKUP(G72,规则与说明!$A$6:$B$11,2,FALSE)*45%,1)</f>
        <v>72</v>
      </c>
      <c r="P72" s="7" t="s">
        <v>46</v>
      </c>
      <c r="Q72" s="1" t="s">
        <v>38</v>
      </c>
      <c r="R72" s="1" t="s">
        <v>173</v>
      </c>
    </row>
    <row r="73" spans="1:18" ht="15" hidden="1">
      <c r="A73" s="3">
        <v>69</v>
      </c>
      <c r="B73" s="1" t="s">
        <v>180</v>
      </c>
      <c r="C73" s="1" t="s">
        <v>123</v>
      </c>
      <c r="D73" s="1" t="s">
        <v>171</v>
      </c>
      <c r="E73" s="1">
        <v>2</v>
      </c>
      <c r="F73" s="1" t="s">
        <v>181</v>
      </c>
      <c r="G73" s="4">
        <v>4</v>
      </c>
      <c r="H73" s="5">
        <v>72</v>
      </c>
      <c r="I73" s="5">
        <v>73</v>
      </c>
      <c r="J73" s="5">
        <v>55</v>
      </c>
      <c r="K73" s="5">
        <v>70</v>
      </c>
      <c r="L73" s="5">
        <v>70</v>
      </c>
      <c r="M73" s="5">
        <v>81</v>
      </c>
      <c r="N73" s="6">
        <f>ROUND(H73*35%+I73*45%+VLOOKUP(G73,规则与说明!$A$6:$B$11,2,FALSE)*20%,1)</f>
        <v>72.099999999999994</v>
      </c>
      <c r="O73" s="6">
        <f>ROUND(H73*45%+I73*10%+VLOOKUP(G73,规则与说明!$A$6:$B$11,2,FALSE)*45%,1)</f>
        <v>71.2</v>
      </c>
      <c r="P73" s="7" t="s">
        <v>46</v>
      </c>
      <c r="Q73" s="1" t="s">
        <v>38</v>
      </c>
      <c r="R73" s="1" t="s">
        <v>173</v>
      </c>
    </row>
    <row r="74" spans="1:18" ht="15" hidden="1">
      <c r="A74" s="3">
        <v>70</v>
      </c>
      <c r="B74" s="1" t="s">
        <v>182</v>
      </c>
      <c r="C74" s="1" t="s">
        <v>123</v>
      </c>
      <c r="D74" s="1" t="s">
        <v>171</v>
      </c>
      <c r="E74" s="1">
        <v>2</v>
      </c>
      <c r="F74" s="1" t="s">
        <v>183</v>
      </c>
      <c r="G74" s="4">
        <v>4</v>
      </c>
      <c r="H74" s="5">
        <v>72</v>
      </c>
      <c r="I74" s="5">
        <v>69</v>
      </c>
      <c r="J74" s="5">
        <v>61</v>
      </c>
      <c r="K74" s="5">
        <v>65</v>
      </c>
      <c r="L74" s="5">
        <v>71</v>
      </c>
      <c r="M74" s="5">
        <v>77</v>
      </c>
      <c r="N74" s="6">
        <f>ROUND(H74*35%+I74*45%+VLOOKUP(G74,规则与说明!$A$6:$B$11,2,FALSE)*20%,1)</f>
        <v>70.3</v>
      </c>
      <c r="O74" s="6">
        <f>ROUND(H74*45%+I74*10%+VLOOKUP(G74,规则与说明!$A$6:$B$11,2,FALSE)*45%,1)</f>
        <v>70.8</v>
      </c>
      <c r="P74" s="7" t="s">
        <v>46</v>
      </c>
      <c r="Q74" s="1" t="s">
        <v>38</v>
      </c>
      <c r="R74" s="1" t="s">
        <v>173</v>
      </c>
    </row>
    <row r="75" spans="1:18" ht="15" hidden="1">
      <c r="A75" s="3">
        <v>71</v>
      </c>
      <c r="B75" s="1" t="s">
        <v>184</v>
      </c>
      <c r="C75" s="1" t="s">
        <v>123</v>
      </c>
      <c r="D75" s="1" t="s">
        <v>171</v>
      </c>
      <c r="E75" s="1">
        <v>2</v>
      </c>
      <c r="F75" s="1" t="s">
        <v>185</v>
      </c>
      <c r="G75" s="4">
        <v>4</v>
      </c>
      <c r="H75" s="5">
        <v>74</v>
      </c>
      <c r="I75" s="5">
        <v>71</v>
      </c>
      <c r="J75" s="5">
        <v>58</v>
      </c>
      <c r="K75" s="5">
        <v>66</v>
      </c>
      <c r="L75" s="5">
        <v>69</v>
      </c>
      <c r="M75" s="5">
        <v>74</v>
      </c>
      <c r="N75" s="6">
        <f>ROUND(H75*35%+I75*45%+VLOOKUP(G75,规则与说明!$A$6:$B$11,2,FALSE)*20%,1)</f>
        <v>71.900000000000006</v>
      </c>
      <c r="O75" s="6">
        <f>ROUND(H75*45%+I75*10%+VLOOKUP(G75,规则与说明!$A$6:$B$11,2,FALSE)*45%,1)</f>
        <v>71.900000000000006</v>
      </c>
      <c r="P75" s="7" t="s">
        <v>46</v>
      </c>
      <c r="Q75" s="1" t="s">
        <v>38</v>
      </c>
      <c r="R75" s="1" t="s">
        <v>173</v>
      </c>
    </row>
    <row r="76" spans="1:18" ht="15" hidden="1">
      <c r="A76" s="3">
        <v>72</v>
      </c>
      <c r="B76" s="1" t="s">
        <v>186</v>
      </c>
      <c r="C76" s="1" t="s">
        <v>123</v>
      </c>
      <c r="D76" s="1" t="s">
        <v>171</v>
      </c>
      <c r="E76" s="1">
        <v>2</v>
      </c>
      <c r="F76" s="1" t="s">
        <v>187</v>
      </c>
      <c r="G76" s="4">
        <v>5</v>
      </c>
      <c r="H76" s="5">
        <v>63</v>
      </c>
      <c r="I76" s="5">
        <v>69</v>
      </c>
      <c r="J76" s="5">
        <v>51</v>
      </c>
      <c r="K76" s="5">
        <v>54</v>
      </c>
      <c r="L76" s="5">
        <v>65</v>
      </c>
      <c r="M76" s="5">
        <v>78</v>
      </c>
      <c r="N76" s="6">
        <f>ROUND(H76*35%+I76*45%+VLOOKUP(G76,规则与说明!$A$6:$B$11,2,FALSE)*20%,1)</f>
        <v>65.099999999999994</v>
      </c>
      <c r="O76" s="6">
        <f>ROUND(H76*45%+I76*10%+VLOOKUP(G76,规则与说明!$A$6:$B$11,2,FALSE)*45%,1)</f>
        <v>62.3</v>
      </c>
      <c r="P76" s="7" t="s">
        <v>46</v>
      </c>
      <c r="Q76" s="1" t="s">
        <v>38</v>
      </c>
      <c r="R76" s="1" t="s">
        <v>173</v>
      </c>
    </row>
    <row r="77" spans="1:18" ht="15" hidden="1">
      <c r="A77" s="3">
        <v>73</v>
      </c>
      <c r="B77" s="1" t="s">
        <v>188</v>
      </c>
      <c r="C77" s="1" t="s">
        <v>123</v>
      </c>
      <c r="D77" s="1" t="s">
        <v>171</v>
      </c>
      <c r="E77" s="1">
        <v>2</v>
      </c>
      <c r="F77" s="1" t="s">
        <v>189</v>
      </c>
      <c r="G77" s="4">
        <v>5</v>
      </c>
      <c r="H77" s="5">
        <v>63</v>
      </c>
      <c r="I77" s="5">
        <v>69</v>
      </c>
      <c r="J77" s="5">
        <v>47</v>
      </c>
      <c r="K77" s="5">
        <v>58</v>
      </c>
      <c r="L77" s="5">
        <v>62</v>
      </c>
      <c r="M77" s="5">
        <v>85</v>
      </c>
      <c r="N77" s="6">
        <f>ROUND(H77*35%+I77*45%+VLOOKUP(G77,规则与说明!$A$6:$B$11,2,FALSE)*20%,1)</f>
        <v>65.099999999999994</v>
      </c>
      <c r="O77" s="6">
        <f>ROUND(H77*45%+I77*10%+VLOOKUP(G77,规则与说明!$A$6:$B$11,2,FALSE)*45%,1)</f>
        <v>62.3</v>
      </c>
      <c r="P77" s="7" t="s">
        <v>91</v>
      </c>
      <c r="Q77" s="1" t="s">
        <v>38</v>
      </c>
      <c r="R77" s="1" t="s">
        <v>173</v>
      </c>
    </row>
    <row r="78" spans="1:18" ht="15" hidden="1">
      <c r="A78" s="3">
        <v>74</v>
      </c>
      <c r="B78" s="1" t="s">
        <v>190</v>
      </c>
      <c r="C78" s="1" t="s">
        <v>123</v>
      </c>
      <c r="D78" s="1" t="s">
        <v>171</v>
      </c>
      <c r="E78" s="1">
        <v>2</v>
      </c>
      <c r="F78" s="1" t="s">
        <v>191</v>
      </c>
      <c r="G78" s="4">
        <v>5</v>
      </c>
      <c r="H78" s="5">
        <v>61</v>
      </c>
      <c r="I78" s="5">
        <v>61</v>
      </c>
      <c r="J78" s="5">
        <v>46</v>
      </c>
      <c r="K78" s="5">
        <v>52</v>
      </c>
      <c r="L78" s="5">
        <v>65</v>
      </c>
      <c r="M78" s="5">
        <v>77</v>
      </c>
      <c r="N78" s="6">
        <f>ROUND(H78*35%+I78*45%+VLOOKUP(G78,规则与说明!$A$6:$B$11,2,FALSE)*20%,1)</f>
        <v>60.8</v>
      </c>
      <c r="O78" s="6">
        <f>ROUND(H78*45%+I78*10%+VLOOKUP(G78,规则与说明!$A$6:$B$11,2,FALSE)*45%,1)</f>
        <v>60.6</v>
      </c>
      <c r="P78" s="7" t="s">
        <v>46</v>
      </c>
      <c r="Q78" s="1" t="s">
        <v>38</v>
      </c>
      <c r="R78" s="1" t="s">
        <v>173</v>
      </c>
    </row>
    <row r="79" spans="1:18" ht="15" hidden="1">
      <c r="A79" s="3">
        <v>75</v>
      </c>
      <c r="B79" s="1" t="s">
        <v>192</v>
      </c>
      <c r="C79" s="1" t="s">
        <v>123</v>
      </c>
      <c r="D79" s="1" t="s">
        <v>171</v>
      </c>
      <c r="E79" s="1">
        <v>2</v>
      </c>
      <c r="F79" s="1" t="s">
        <v>193</v>
      </c>
      <c r="G79" s="4">
        <v>5</v>
      </c>
      <c r="H79" s="5">
        <v>63</v>
      </c>
      <c r="I79" s="5">
        <v>61</v>
      </c>
      <c r="J79" s="5">
        <v>50</v>
      </c>
      <c r="K79" s="5">
        <v>52</v>
      </c>
      <c r="L79" s="5">
        <v>64</v>
      </c>
      <c r="M79" s="5">
        <v>85</v>
      </c>
      <c r="N79" s="6">
        <f>ROUND(H79*35%+I79*45%+VLOOKUP(G79,规则与说明!$A$6:$B$11,2,FALSE)*20%,1)</f>
        <v>61.5</v>
      </c>
      <c r="O79" s="6">
        <f>ROUND(H79*45%+I79*10%+VLOOKUP(G79,规则与说明!$A$6:$B$11,2,FALSE)*45%,1)</f>
        <v>61.5</v>
      </c>
      <c r="P79" s="7" t="s">
        <v>46</v>
      </c>
      <c r="Q79" s="1" t="s">
        <v>38</v>
      </c>
      <c r="R79" s="1" t="s">
        <v>173</v>
      </c>
    </row>
    <row r="80" spans="1:18" ht="15" hidden="1">
      <c r="A80" s="3">
        <v>76</v>
      </c>
      <c r="B80" s="1" t="s">
        <v>194</v>
      </c>
      <c r="C80" s="1" t="s">
        <v>123</v>
      </c>
      <c r="D80" s="1" t="s">
        <v>171</v>
      </c>
      <c r="E80" s="1">
        <v>2</v>
      </c>
      <c r="F80" s="1" t="s">
        <v>195</v>
      </c>
      <c r="G80" s="4">
        <v>5</v>
      </c>
      <c r="H80" s="5">
        <v>63</v>
      </c>
      <c r="I80" s="5">
        <v>63</v>
      </c>
      <c r="J80" s="5">
        <v>46</v>
      </c>
      <c r="K80" s="5">
        <v>52</v>
      </c>
      <c r="L80" s="5">
        <v>65</v>
      </c>
      <c r="M80" s="5">
        <v>84</v>
      </c>
      <c r="N80" s="6">
        <f>ROUND(H80*35%+I80*45%+VLOOKUP(G80,规则与说明!$A$6:$B$11,2,FALSE)*20%,1)</f>
        <v>62.4</v>
      </c>
      <c r="O80" s="6">
        <f>ROUND(H80*45%+I80*10%+VLOOKUP(G80,规则与说明!$A$6:$B$11,2,FALSE)*45%,1)</f>
        <v>61.7</v>
      </c>
      <c r="P80" s="7" t="s">
        <v>46</v>
      </c>
      <c r="Q80" s="1" t="s">
        <v>38</v>
      </c>
      <c r="R80" s="1" t="s">
        <v>173</v>
      </c>
    </row>
    <row r="81" spans="1:18" ht="15" hidden="1">
      <c r="A81" s="3">
        <v>77</v>
      </c>
      <c r="B81" s="1" t="s">
        <v>196</v>
      </c>
      <c r="C81" s="1" t="s">
        <v>123</v>
      </c>
      <c r="D81" s="1" t="s">
        <v>171</v>
      </c>
      <c r="E81" s="1">
        <v>2</v>
      </c>
      <c r="F81" s="1" t="s">
        <v>197</v>
      </c>
      <c r="G81" s="4">
        <v>5</v>
      </c>
      <c r="H81" s="5">
        <v>63</v>
      </c>
      <c r="I81" s="5">
        <v>68</v>
      </c>
      <c r="J81" s="5">
        <v>51</v>
      </c>
      <c r="K81" s="5">
        <v>52</v>
      </c>
      <c r="L81" s="5">
        <v>64</v>
      </c>
      <c r="M81" s="5">
        <v>84</v>
      </c>
      <c r="N81" s="6">
        <f>ROUND(H81*35%+I81*45%+VLOOKUP(G81,规则与说明!$A$6:$B$11,2,FALSE)*20%,1)</f>
        <v>64.7</v>
      </c>
      <c r="O81" s="6">
        <f>ROUND(H81*45%+I81*10%+VLOOKUP(G81,规则与说明!$A$6:$B$11,2,FALSE)*45%,1)</f>
        <v>62.2</v>
      </c>
      <c r="P81" s="7" t="s">
        <v>46</v>
      </c>
      <c r="Q81" s="1" t="s">
        <v>38</v>
      </c>
      <c r="R81" s="1" t="s">
        <v>173</v>
      </c>
    </row>
    <row r="82" spans="1:18" ht="15" hidden="1">
      <c r="A82" s="3">
        <v>78</v>
      </c>
      <c r="B82" s="1" t="s">
        <v>198</v>
      </c>
      <c r="C82" s="1" t="s">
        <v>123</v>
      </c>
      <c r="D82" s="1" t="s">
        <v>171</v>
      </c>
      <c r="E82" s="1">
        <v>2</v>
      </c>
      <c r="F82" s="1" t="s">
        <v>199</v>
      </c>
      <c r="G82" s="4">
        <v>5</v>
      </c>
      <c r="H82" s="5">
        <v>64</v>
      </c>
      <c r="I82" s="5">
        <v>69</v>
      </c>
      <c r="J82" s="5">
        <v>45</v>
      </c>
      <c r="K82" s="5">
        <v>57</v>
      </c>
      <c r="L82" s="5">
        <v>63</v>
      </c>
      <c r="M82" s="5">
        <v>82</v>
      </c>
      <c r="N82" s="6">
        <f>ROUND(H82*35%+I82*45%+VLOOKUP(G82,规则与说明!$A$6:$B$11,2,FALSE)*20%,1)</f>
        <v>65.5</v>
      </c>
      <c r="O82" s="6">
        <f>ROUND(H82*45%+I82*10%+VLOOKUP(G82,规则与说明!$A$6:$B$11,2,FALSE)*45%,1)</f>
        <v>62.7</v>
      </c>
      <c r="P82" s="7" t="s">
        <v>46</v>
      </c>
      <c r="Q82" s="1" t="s">
        <v>38</v>
      </c>
      <c r="R82" s="1" t="s">
        <v>173</v>
      </c>
    </row>
    <row r="83" spans="1:18" ht="15" hidden="1">
      <c r="A83" s="3">
        <v>79</v>
      </c>
      <c r="B83" s="1" t="s">
        <v>200</v>
      </c>
      <c r="C83" s="1" t="s">
        <v>123</v>
      </c>
      <c r="D83" s="1" t="s">
        <v>171</v>
      </c>
      <c r="E83" s="1">
        <v>2</v>
      </c>
      <c r="F83" s="1" t="s">
        <v>201</v>
      </c>
      <c r="G83" s="4">
        <v>5</v>
      </c>
      <c r="H83" s="5">
        <v>63</v>
      </c>
      <c r="I83" s="5">
        <v>64</v>
      </c>
      <c r="J83" s="5">
        <v>45</v>
      </c>
      <c r="K83" s="5">
        <v>58</v>
      </c>
      <c r="L83" s="5">
        <v>65</v>
      </c>
      <c r="M83" s="5">
        <v>78</v>
      </c>
      <c r="N83" s="6">
        <f>ROUND(H83*35%+I83*45%+VLOOKUP(G83,规则与说明!$A$6:$B$11,2,FALSE)*20%,1)</f>
        <v>62.9</v>
      </c>
      <c r="O83" s="6">
        <f>ROUND(H83*45%+I83*10%+VLOOKUP(G83,规则与说明!$A$6:$B$11,2,FALSE)*45%,1)</f>
        <v>61.8</v>
      </c>
      <c r="P83" s="7" t="s">
        <v>46</v>
      </c>
      <c r="Q83" s="1" t="s">
        <v>38</v>
      </c>
      <c r="R83" s="1" t="s">
        <v>173</v>
      </c>
    </row>
    <row r="84" spans="1:18" ht="15" hidden="1">
      <c r="A84" s="3">
        <v>80</v>
      </c>
      <c r="B84" s="1" t="s">
        <v>202</v>
      </c>
      <c r="C84" s="1" t="s">
        <v>123</v>
      </c>
      <c r="D84" s="1" t="s">
        <v>171</v>
      </c>
      <c r="E84" s="1">
        <v>2</v>
      </c>
      <c r="F84" s="1" t="s">
        <v>203</v>
      </c>
      <c r="G84" s="4">
        <v>5</v>
      </c>
      <c r="H84" s="5">
        <v>65</v>
      </c>
      <c r="I84" s="5">
        <v>68</v>
      </c>
      <c r="J84" s="5">
        <v>50</v>
      </c>
      <c r="K84" s="5">
        <v>57</v>
      </c>
      <c r="L84" s="5">
        <v>63</v>
      </c>
      <c r="M84" s="5">
        <v>81</v>
      </c>
      <c r="N84" s="6">
        <f>ROUND(H84*35%+I84*45%+VLOOKUP(G84,规则与说明!$A$6:$B$11,2,FALSE)*20%,1)</f>
        <v>65.400000000000006</v>
      </c>
      <c r="O84" s="6">
        <f>ROUND(H84*45%+I84*10%+VLOOKUP(G84,规则与说明!$A$6:$B$11,2,FALSE)*45%,1)</f>
        <v>63.1</v>
      </c>
      <c r="P84" s="7" t="s">
        <v>46</v>
      </c>
      <c r="Q84" s="1" t="s">
        <v>38</v>
      </c>
      <c r="R84" s="1" t="s">
        <v>173</v>
      </c>
    </row>
    <row r="85" spans="1:18" ht="15" hidden="1">
      <c r="A85" s="3">
        <v>81</v>
      </c>
      <c r="B85" s="1" t="s">
        <v>204</v>
      </c>
      <c r="C85" s="1" t="s">
        <v>123</v>
      </c>
      <c r="D85" s="1" t="s">
        <v>171</v>
      </c>
      <c r="E85" s="1">
        <v>2</v>
      </c>
      <c r="F85" s="1" t="s">
        <v>205</v>
      </c>
      <c r="G85" s="4">
        <v>6</v>
      </c>
      <c r="H85" s="5">
        <v>53</v>
      </c>
      <c r="I85" s="5">
        <v>52</v>
      </c>
      <c r="J85" s="5">
        <v>37</v>
      </c>
      <c r="K85" s="5">
        <v>42</v>
      </c>
      <c r="L85" s="5">
        <v>54</v>
      </c>
      <c r="M85" s="5">
        <v>90</v>
      </c>
      <c r="N85" s="6">
        <f>ROUND(H85*35%+I85*45%+VLOOKUP(G85,规则与说明!$A$6:$B$11,2,FALSE)*20%,1)</f>
        <v>52</v>
      </c>
      <c r="O85" s="6">
        <f>ROUND(H85*45%+I85*10%+VLOOKUP(G85,规则与说明!$A$6:$B$11,2,FALSE)*45%,1)</f>
        <v>51.6</v>
      </c>
      <c r="P85" s="7" t="s">
        <v>206</v>
      </c>
      <c r="Q85" s="1" t="s">
        <v>38</v>
      </c>
      <c r="R85" s="1" t="s">
        <v>173</v>
      </c>
    </row>
    <row r="86" spans="1:18" ht="15" hidden="1">
      <c r="A86" s="3">
        <v>82</v>
      </c>
      <c r="B86" s="1" t="s">
        <v>207</v>
      </c>
      <c r="C86" s="1" t="s">
        <v>123</v>
      </c>
      <c r="D86" s="1" t="s">
        <v>171</v>
      </c>
      <c r="E86" s="1">
        <v>2</v>
      </c>
      <c r="F86" s="1" t="s">
        <v>208</v>
      </c>
      <c r="G86" s="4">
        <v>6</v>
      </c>
      <c r="H86" s="5">
        <v>54</v>
      </c>
      <c r="I86" s="5">
        <v>51</v>
      </c>
      <c r="J86" s="5">
        <v>35</v>
      </c>
      <c r="K86" s="5">
        <v>36</v>
      </c>
      <c r="L86" s="5">
        <v>55</v>
      </c>
      <c r="M86" s="5">
        <v>84</v>
      </c>
      <c r="N86" s="6">
        <f>ROUND(H86*35%+I86*45%+VLOOKUP(G86,规则与说明!$A$6:$B$11,2,FALSE)*20%,1)</f>
        <v>51.9</v>
      </c>
      <c r="O86" s="6">
        <f>ROUND(H86*45%+I86*10%+VLOOKUP(G86,规则与说明!$A$6:$B$11,2,FALSE)*45%,1)</f>
        <v>51.9</v>
      </c>
      <c r="P86" s="7" t="s">
        <v>91</v>
      </c>
      <c r="Q86" s="1" t="s">
        <v>38</v>
      </c>
      <c r="R86" s="1" t="s">
        <v>173</v>
      </c>
    </row>
    <row r="87" spans="1:18" ht="15" hidden="1">
      <c r="A87" s="3">
        <v>83</v>
      </c>
      <c r="B87" s="1" t="s">
        <v>209</v>
      </c>
      <c r="C87" s="1" t="s">
        <v>123</v>
      </c>
      <c r="D87" s="1" t="s">
        <v>171</v>
      </c>
      <c r="E87" s="1">
        <v>2</v>
      </c>
      <c r="F87" s="1" t="s">
        <v>210</v>
      </c>
      <c r="G87" s="4">
        <v>6</v>
      </c>
      <c r="H87" s="5">
        <v>54</v>
      </c>
      <c r="I87" s="5">
        <v>56</v>
      </c>
      <c r="J87" s="5">
        <v>35</v>
      </c>
      <c r="K87" s="5">
        <v>39</v>
      </c>
      <c r="L87" s="5">
        <v>58</v>
      </c>
      <c r="M87" s="5">
        <v>91</v>
      </c>
      <c r="N87" s="6">
        <f>ROUND(H87*35%+I87*45%+VLOOKUP(G87,规则与说明!$A$6:$B$11,2,FALSE)*20%,1)</f>
        <v>54.1</v>
      </c>
      <c r="O87" s="6">
        <f>ROUND(H87*45%+I87*10%+VLOOKUP(G87,规则与说明!$A$6:$B$11,2,FALSE)*45%,1)</f>
        <v>52.4</v>
      </c>
      <c r="P87" s="7" t="s">
        <v>206</v>
      </c>
      <c r="Q87" s="1" t="s">
        <v>38</v>
      </c>
      <c r="R87" s="1" t="s">
        <v>173</v>
      </c>
    </row>
    <row r="88" spans="1:18" ht="15" hidden="1">
      <c r="A88" s="3">
        <v>84</v>
      </c>
      <c r="B88" s="1" t="s">
        <v>211</v>
      </c>
      <c r="C88" s="1" t="s">
        <v>123</v>
      </c>
      <c r="D88" s="1" t="s">
        <v>171</v>
      </c>
      <c r="E88" s="1">
        <v>2</v>
      </c>
      <c r="F88" s="1" t="s">
        <v>212</v>
      </c>
      <c r="G88" s="4">
        <v>6</v>
      </c>
      <c r="H88" s="5">
        <v>50</v>
      </c>
      <c r="I88" s="5">
        <v>57</v>
      </c>
      <c r="J88" s="5">
        <v>32</v>
      </c>
      <c r="K88" s="5">
        <v>42</v>
      </c>
      <c r="L88" s="5">
        <v>56</v>
      </c>
      <c r="M88" s="5">
        <v>84</v>
      </c>
      <c r="N88" s="6">
        <f>ROUND(H88*35%+I88*45%+VLOOKUP(G88,规则与说明!$A$6:$B$11,2,FALSE)*20%,1)</f>
        <v>53.2</v>
      </c>
      <c r="O88" s="6">
        <f>ROUND(H88*45%+I88*10%+VLOOKUP(G88,规则与说明!$A$6:$B$11,2,FALSE)*45%,1)</f>
        <v>50.7</v>
      </c>
      <c r="P88" s="7" t="s">
        <v>91</v>
      </c>
      <c r="Q88" s="1" t="s">
        <v>38</v>
      </c>
      <c r="R88" s="1" t="s">
        <v>173</v>
      </c>
    </row>
    <row r="89" spans="1:18" ht="15" hidden="1">
      <c r="A89" s="3">
        <v>85</v>
      </c>
      <c r="B89" s="1" t="s">
        <v>213</v>
      </c>
      <c r="C89" s="1" t="s">
        <v>123</v>
      </c>
      <c r="D89" s="1" t="s">
        <v>171</v>
      </c>
      <c r="E89" s="1">
        <v>2</v>
      </c>
      <c r="F89" s="1" t="s">
        <v>214</v>
      </c>
      <c r="G89" s="4">
        <v>6</v>
      </c>
      <c r="H89" s="5">
        <v>54</v>
      </c>
      <c r="I89" s="5">
        <v>52</v>
      </c>
      <c r="J89" s="5">
        <v>33</v>
      </c>
      <c r="K89" s="5">
        <v>39</v>
      </c>
      <c r="L89" s="5">
        <v>57</v>
      </c>
      <c r="M89" s="5">
        <v>88</v>
      </c>
      <c r="N89" s="6">
        <f>ROUND(H89*35%+I89*45%+VLOOKUP(G89,规则与说明!$A$6:$B$11,2,FALSE)*20%,1)</f>
        <v>52.3</v>
      </c>
      <c r="O89" s="6">
        <f>ROUND(H89*45%+I89*10%+VLOOKUP(G89,规则与说明!$A$6:$B$11,2,FALSE)*45%,1)</f>
        <v>52</v>
      </c>
      <c r="P89" s="7" t="s">
        <v>206</v>
      </c>
      <c r="Q89" s="1" t="s">
        <v>38</v>
      </c>
      <c r="R89" s="1" t="s">
        <v>173</v>
      </c>
    </row>
    <row r="90" spans="1:18" ht="15" hidden="1">
      <c r="A90" s="3">
        <v>86</v>
      </c>
      <c r="B90" s="1" t="s">
        <v>215</v>
      </c>
      <c r="C90" s="1" t="s">
        <v>123</v>
      </c>
      <c r="D90" s="1" t="s">
        <v>171</v>
      </c>
      <c r="E90" s="1">
        <v>2</v>
      </c>
      <c r="F90" s="1" t="s">
        <v>216</v>
      </c>
      <c r="G90" s="4">
        <v>6</v>
      </c>
      <c r="H90" s="5">
        <v>50</v>
      </c>
      <c r="I90" s="5">
        <v>51</v>
      </c>
      <c r="J90" s="5">
        <v>34</v>
      </c>
      <c r="K90" s="5">
        <v>36</v>
      </c>
      <c r="L90" s="5">
        <v>56</v>
      </c>
      <c r="M90" s="5">
        <v>92</v>
      </c>
      <c r="N90" s="6">
        <f>ROUND(H90*35%+I90*45%+VLOOKUP(G90,规则与说明!$A$6:$B$11,2,FALSE)*20%,1)</f>
        <v>50.5</v>
      </c>
      <c r="O90" s="6">
        <f>ROUND(H90*45%+I90*10%+VLOOKUP(G90,规则与说明!$A$6:$B$11,2,FALSE)*45%,1)</f>
        <v>50.1</v>
      </c>
      <c r="P90" s="7" t="s">
        <v>206</v>
      </c>
      <c r="Q90" s="1" t="s">
        <v>38</v>
      </c>
      <c r="R90" s="1" t="s">
        <v>173</v>
      </c>
    </row>
    <row r="91" spans="1:18" ht="30">
      <c r="A91" s="3">
        <v>87</v>
      </c>
      <c r="B91" s="1" t="s">
        <v>217</v>
      </c>
      <c r="C91" s="1" t="s">
        <v>218</v>
      </c>
      <c r="D91" s="1" t="s">
        <v>219</v>
      </c>
      <c r="E91" s="1">
        <v>1</v>
      </c>
      <c r="F91" s="1" t="s">
        <v>220</v>
      </c>
      <c r="G91" s="4">
        <v>1</v>
      </c>
      <c r="H91" s="5">
        <v>99</v>
      </c>
      <c r="I91" s="5">
        <v>95</v>
      </c>
      <c r="J91" s="5">
        <v>95</v>
      </c>
      <c r="K91" s="5">
        <v>98</v>
      </c>
      <c r="L91" s="5">
        <v>86</v>
      </c>
      <c r="M91" s="5">
        <v>70</v>
      </c>
      <c r="N91" s="6">
        <v>97</v>
      </c>
      <c r="O91" s="6">
        <v>98</v>
      </c>
      <c r="P91" s="7" t="s">
        <v>41</v>
      </c>
      <c r="Q91" s="1" t="s">
        <v>25</v>
      </c>
      <c r="R91" s="1" t="s">
        <v>221</v>
      </c>
    </row>
    <row r="92" spans="1:18" ht="30">
      <c r="A92" s="3">
        <v>88</v>
      </c>
      <c r="B92" s="1" t="s">
        <v>222</v>
      </c>
      <c r="C92" s="1" t="s">
        <v>218</v>
      </c>
      <c r="D92" s="1" t="s">
        <v>219</v>
      </c>
      <c r="E92" s="1">
        <v>1</v>
      </c>
      <c r="F92" s="1" t="s">
        <v>223</v>
      </c>
      <c r="G92" s="4">
        <v>1</v>
      </c>
      <c r="H92" s="5">
        <v>98</v>
      </c>
      <c r="I92" s="5">
        <v>89</v>
      </c>
      <c r="J92" s="5">
        <v>96</v>
      </c>
      <c r="K92" s="5">
        <v>98</v>
      </c>
      <c r="L92" s="5">
        <v>86</v>
      </c>
      <c r="M92" s="5">
        <v>66</v>
      </c>
      <c r="N92" s="6">
        <f>ROUND(H92*35%+I92*45%+VLOOKUP(G92,规则与说明!$A$6:$B$11,2,FALSE)*20%,1)</f>
        <v>93.2</v>
      </c>
      <c r="O92" s="6">
        <f>ROUND(H92*45%+I92*10%+VLOOKUP(G92,规则与说明!$A$6:$B$11,2,FALSE)*45%,1)</f>
        <v>95.3</v>
      </c>
      <c r="P92" s="7" t="s">
        <v>41</v>
      </c>
      <c r="Q92" s="1" t="s">
        <v>25</v>
      </c>
      <c r="R92" s="1" t="s">
        <v>221</v>
      </c>
    </row>
    <row r="93" spans="1:18" ht="30">
      <c r="A93" s="3">
        <v>89</v>
      </c>
      <c r="B93" s="1" t="s">
        <v>224</v>
      </c>
      <c r="C93" s="1" t="s">
        <v>218</v>
      </c>
      <c r="D93" s="1" t="s">
        <v>219</v>
      </c>
      <c r="E93" s="1">
        <v>1</v>
      </c>
      <c r="F93" s="1" t="s">
        <v>225</v>
      </c>
      <c r="G93" s="4">
        <v>1</v>
      </c>
      <c r="H93" s="5">
        <v>97</v>
      </c>
      <c r="I93" s="5">
        <v>91</v>
      </c>
      <c r="J93" s="5">
        <v>95</v>
      </c>
      <c r="K93" s="5">
        <v>96</v>
      </c>
      <c r="L93" s="5">
        <v>85</v>
      </c>
      <c r="M93" s="5">
        <v>60</v>
      </c>
      <c r="N93" s="6">
        <f>ROUND(H93*35%+I93*45%+VLOOKUP(G93,规则与说明!$A$6:$B$11,2,FALSE)*20%,1)</f>
        <v>93.7</v>
      </c>
      <c r="O93" s="6">
        <f>ROUND(H93*45%+I93*10%+VLOOKUP(G93,规则与说明!$A$6:$B$11,2,FALSE)*45%,1)</f>
        <v>95.1</v>
      </c>
      <c r="P93" s="7" t="s">
        <v>24</v>
      </c>
      <c r="Q93" s="1" t="s">
        <v>25</v>
      </c>
      <c r="R93" s="1" t="s">
        <v>221</v>
      </c>
    </row>
    <row r="94" spans="1:18" ht="15">
      <c r="A94" s="3">
        <v>90</v>
      </c>
      <c r="B94" s="1" t="s">
        <v>226</v>
      </c>
      <c r="C94" s="1" t="s">
        <v>218</v>
      </c>
      <c r="D94" s="1" t="s">
        <v>219</v>
      </c>
      <c r="E94" s="1">
        <v>1</v>
      </c>
      <c r="F94" s="1" t="s">
        <v>227</v>
      </c>
      <c r="G94" s="4">
        <v>2</v>
      </c>
      <c r="H94" s="5">
        <v>91</v>
      </c>
      <c r="I94" s="5">
        <v>91</v>
      </c>
      <c r="J94" s="5">
        <v>81</v>
      </c>
      <c r="K94" s="5">
        <v>87</v>
      </c>
      <c r="L94" s="5">
        <v>80</v>
      </c>
      <c r="M94" s="5">
        <v>87</v>
      </c>
      <c r="N94" s="6">
        <f>ROUND(H94*35%+I94*45%+VLOOKUP(G94,规则与说明!$A$6:$B$11,2,FALSE)*20%,1)</f>
        <v>90.2</v>
      </c>
      <c r="O94" s="6">
        <f>ROUND(H94*45%+I94*10%+VLOOKUP(G94,规则与说明!$A$6:$B$11,2,FALSE)*45%,1)</f>
        <v>89.2</v>
      </c>
      <c r="P94" s="7" t="s">
        <v>228</v>
      </c>
      <c r="Q94" s="1" t="s">
        <v>25</v>
      </c>
      <c r="R94" s="1" t="s">
        <v>221</v>
      </c>
    </row>
    <row r="95" spans="1:18" ht="15">
      <c r="A95" s="3">
        <v>91</v>
      </c>
      <c r="B95" s="1" t="s">
        <v>229</v>
      </c>
      <c r="C95" s="1" t="s">
        <v>218</v>
      </c>
      <c r="D95" s="1" t="s">
        <v>219</v>
      </c>
      <c r="E95" s="1">
        <v>1</v>
      </c>
      <c r="F95" s="1" t="s">
        <v>230</v>
      </c>
      <c r="G95" s="4">
        <v>2</v>
      </c>
      <c r="H95" s="5">
        <v>91</v>
      </c>
      <c r="I95" s="5">
        <v>86</v>
      </c>
      <c r="J95" s="5">
        <v>80</v>
      </c>
      <c r="K95" s="5">
        <v>85</v>
      </c>
      <c r="L95" s="5">
        <v>82</v>
      </c>
      <c r="M95" s="5">
        <v>71</v>
      </c>
      <c r="N95" s="6">
        <f>ROUND(H95*35%+I95*45%+VLOOKUP(G95,规则与说明!$A$6:$B$11,2,FALSE)*20%,1)</f>
        <v>88</v>
      </c>
      <c r="O95" s="6">
        <f>ROUND(H95*45%+I95*10%+VLOOKUP(G95,规则与说明!$A$6:$B$11,2,FALSE)*45%,1)</f>
        <v>88.7</v>
      </c>
      <c r="P95" s="7" t="s">
        <v>231</v>
      </c>
      <c r="Q95" s="1" t="s">
        <v>38</v>
      </c>
      <c r="R95" s="1" t="s">
        <v>221</v>
      </c>
    </row>
    <row r="96" spans="1:18" ht="30">
      <c r="A96" s="3">
        <v>92</v>
      </c>
      <c r="B96" s="1" t="s">
        <v>232</v>
      </c>
      <c r="C96" s="1" t="s">
        <v>218</v>
      </c>
      <c r="D96" s="1" t="s">
        <v>219</v>
      </c>
      <c r="E96" s="1">
        <v>1</v>
      </c>
      <c r="F96" s="1" t="s">
        <v>233</v>
      </c>
      <c r="G96" s="4">
        <v>2</v>
      </c>
      <c r="H96" s="5">
        <v>90</v>
      </c>
      <c r="I96" s="5">
        <v>89</v>
      </c>
      <c r="J96" s="5">
        <v>85</v>
      </c>
      <c r="K96" s="5">
        <v>91</v>
      </c>
      <c r="L96" s="5">
        <v>82</v>
      </c>
      <c r="M96" s="5">
        <v>79</v>
      </c>
      <c r="N96" s="6">
        <f>ROUND(H96*35%+I96*45%+VLOOKUP(G96,规则与说明!$A$6:$B$11,2,FALSE)*20%,1)</f>
        <v>89</v>
      </c>
      <c r="O96" s="6">
        <f>ROUND(H96*45%+I96*10%+VLOOKUP(G96,规则与说明!$A$6:$B$11,2,FALSE)*45%,1)</f>
        <v>88.6</v>
      </c>
      <c r="P96" s="7" t="s">
        <v>41</v>
      </c>
      <c r="Q96" s="1" t="s">
        <v>25</v>
      </c>
      <c r="R96" s="1" t="s">
        <v>221</v>
      </c>
    </row>
    <row r="97" spans="1:18" ht="15">
      <c r="A97" s="3">
        <v>93</v>
      </c>
      <c r="B97" s="1" t="s">
        <v>234</v>
      </c>
      <c r="C97" s="1" t="s">
        <v>218</v>
      </c>
      <c r="D97" s="1" t="s">
        <v>219</v>
      </c>
      <c r="E97" s="1">
        <v>1</v>
      </c>
      <c r="F97" s="1" t="s">
        <v>235</v>
      </c>
      <c r="G97" s="4">
        <v>2</v>
      </c>
      <c r="H97" s="5">
        <v>88</v>
      </c>
      <c r="I97" s="5">
        <v>76</v>
      </c>
      <c r="J97" s="5">
        <v>78</v>
      </c>
      <c r="K97" s="5">
        <v>82</v>
      </c>
      <c r="L97" s="5">
        <v>80</v>
      </c>
      <c r="M97" s="5">
        <v>80</v>
      </c>
      <c r="N97" s="6">
        <f>ROUND(H97*35%+I97*45%+VLOOKUP(G97,规则与说明!$A$6:$B$11,2,FALSE)*20%,1)</f>
        <v>82.4</v>
      </c>
      <c r="O97" s="6">
        <f>ROUND(H97*45%+I97*10%+VLOOKUP(G97,规则与说明!$A$6:$B$11,2,FALSE)*45%,1)</f>
        <v>86.4</v>
      </c>
      <c r="P97" s="7" t="s">
        <v>46</v>
      </c>
      <c r="Q97" s="1" t="s">
        <v>25</v>
      </c>
      <c r="R97" s="1" t="s">
        <v>221</v>
      </c>
    </row>
    <row r="98" spans="1:18" ht="15">
      <c r="A98" s="3">
        <v>94</v>
      </c>
      <c r="B98" s="1" t="s">
        <v>236</v>
      </c>
      <c r="C98" s="1" t="s">
        <v>218</v>
      </c>
      <c r="D98" s="1" t="s">
        <v>219</v>
      </c>
      <c r="E98" s="1">
        <v>1</v>
      </c>
      <c r="F98" s="1" t="s">
        <v>237</v>
      </c>
      <c r="G98" s="4">
        <v>3</v>
      </c>
      <c r="H98" s="5">
        <v>82</v>
      </c>
      <c r="I98" s="5">
        <v>78</v>
      </c>
      <c r="J98" s="5">
        <v>72</v>
      </c>
      <c r="K98" s="5">
        <v>78</v>
      </c>
      <c r="L98" s="5">
        <v>76</v>
      </c>
      <c r="M98" s="5">
        <v>65</v>
      </c>
      <c r="N98" s="6">
        <f>ROUND(H98*35%+I98*45%+VLOOKUP(G98,规则与说明!$A$6:$B$11,2,FALSE)*20%,1)</f>
        <v>79.599999999999994</v>
      </c>
      <c r="O98" s="6">
        <f>ROUND(H98*45%+I98*10%+VLOOKUP(G98,规则与说明!$A$6:$B$11,2,FALSE)*45%,1)</f>
        <v>80.3</v>
      </c>
      <c r="P98" s="7" t="s">
        <v>46</v>
      </c>
      <c r="Q98" s="1" t="s">
        <v>25</v>
      </c>
      <c r="R98" s="1" t="s">
        <v>221</v>
      </c>
    </row>
    <row r="99" spans="1:18" ht="15">
      <c r="A99" s="3">
        <v>95</v>
      </c>
      <c r="B99" s="1" t="s">
        <v>238</v>
      </c>
      <c r="C99" s="1" t="s">
        <v>218</v>
      </c>
      <c r="D99" s="1" t="s">
        <v>219</v>
      </c>
      <c r="E99" s="1">
        <v>1</v>
      </c>
      <c r="F99" s="1" t="s">
        <v>239</v>
      </c>
      <c r="G99" s="4">
        <v>3</v>
      </c>
      <c r="H99" s="5">
        <v>85</v>
      </c>
      <c r="I99" s="5">
        <v>79</v>
      </c>
      <c r="J99" s="5">
        <v>71</v>
      </c>
      <c r="K99" s="5">
        <v>81</v>
      </c>
      <c r="L99" s="5">
        <v>76</v>
      </c>
      <c r="M99" s="5">
        <v>67</v>
      </c>
      <c r="N99" s="6">
        <f>ROUND(H99*35%+I99*45%+VLOOKUP(G99,规则与说明!$A$6:$B$11,2,FALSE)*20%,1)</f>
        <v>81.099999999999994</v>
      </c>
      <c r="O99" s="6">
        <f>ROUND(H99*45%+I99*10%+VLOOKUP(G99,规则与说明!$A$6:$B$11,2,FALSE)*45%,1)</f>
        <v>81.7</v>
      </c>
      <c r="P99" s="7" t="s">
        <v>46</v>
      </c>
      <c r="Q99" s="1" t="s">
        <v>38</v>
      </c>
      <c r="R99" s="1" t="s">
        <v>221</v>
      </c>
    </row>
    <row r="100" spans="1:18" ht="15">
      <c r="A100" s="3">
        <v>96</v>
      </c>
      <c r="B100" s="1" t="s">
        <v>240</v>
      </c>
      <c r="C100" s="1" t="s">
        <v>218</v>
      </c>
      <c r="D100" s="1" t="s">
        <v>219</v>
      </c>
      <c r="E100" s="1">
        <v>1</v>
      </c>
      <c r="F100" s="1" t="s">
        <v>241</v>
      </c>
      <c r="G100" s="4">
        <v>3</v>
      </c>
      <c r="H100" s="5">
        <v>82</v>
      </c>
      <c r="I100" s="5">
        <v>76</v>
      </c>
      <c r="J100" s="5">
        <v>73</v>
      </c>
      <c r="K100" s="5">
        <v>81</v>
      </c>
      <c r="L100" s="5">
        <v>77</v>
      </c>
      <c r="M100" s="5">
        <v>72</v>
      </c>
      <c r="N100" s="6">
        <f>ROUND(H100*35%+I100*45%+VLOOKUP(G100,规则与说明!$A$6:$B$11,2,FALSE)*20%,1)</f>
        <v>78.7</v>
      </c>
      <c r="O100" s="6">
        <f>ROUND(H100*45%+I100*10%+VLOOKUP(G100,规则与说明!$A$6:$B$11,2,FALSE)*45%,1)</f>
        <v>80.099999999999994</v>
      </c>
      <c r="P100" s="7" t="s">
        <v>46</v>
      </c>
      <c r="Q100" s="1" t="s">
        <v>38</v>
      </c>
      <c r="R100" s="1" t="s">
        <v>221</v>
      </c>
    </row>
    <row r="101" spans="1:18" ht="15">
      <c r="A101" s="3">
        <v>97</v>
      </c>
      <c r="B101" s="1" t="s">
        <v>242</v>
      </c>
      <c r="C101" s="1" t="s">
        <v>218</v>
      </c>
      <c r="D101" s="1" t="s">
        <v>219</v>
      </c>
      <c r="E101" s="1">
        <v>1</v>
      </c>
      <c r="F101" s="1" t="s">
        <v>243</v>
      </c>
      <c r="G101" s="4">
        <v>3</v>
      </c>
      <c r="H101" s="5">
        <v>85</v>
      </c>
      <c r="I101" s="5">
        <v>81</v>
      </c>
      <c r="J101" s="5">
        <v>75</v>
      </c>
      <c r="K101" s="5">
        <v>84</v>
      </c>
      <c r="L101" s="5">
        <v>78</v>
      </c>
      <c r="M101" s="5">
        <v>68</v>
      </c>
      <c r="N101" s="6">
        <f>ROUND(H101*35%+I101*45%+VLOOKUP(G101,规则与说明!$A$6:$B$11,2,FALSE)*20%,1)</f>
        <v>82</v>
      </c>
      <c r="O101" s="6">
        <f>ROUND(H101*45%+I101*10%+VLOOKUP(G101,规则与说明!$A$6:$B$11,2,FALSE)*45%,1)</f>
        <v>81.900000000000006</v>
      </c>
      <c r="P101" s="7" t="s">
        <v>46</v>
      </c>
      <c r="Q101" s="1" t="s">
        <v>38</v>
      </c>
      <c r="R101" s="1" t="s">
        <v>221</v>
      </c>
    </row>
    <row r="102" spans="1:18" ht="15">
      <c r="A102" s="3">
        <v>98</v>
      </c>
      <c r="B102" s="1" t="s">
        <v>244</v>
      </c>
      <c r="C102" s="1" t="s">
        <v>218</v>
      </c>
      <c r="D102" s="1" t="s">
        <v>219</v>
      </c>
      <c r="E102" s="1">
        <v>1</v>
      </c>
      <c r="F102" s="1" t="s">
        <v>245</v>
      </c>
      <c r="G102" s="4">
        <v>4</v>
      </c>
      <c r="H102" s="5">
        <v>73</v>
      </c>
      <c r="I102" s="5">
        <v>69</v>
      </c>
      <c r="J102" s="5">
        <v>59</v>
      </c>
      <c r="K102" s="5">
        <v>67</v>
      </c>
      <c r="L102" s="5">
        <v>71</v>
      </c>
      <c r="M102" s="5">
        <v>73</v>
      </c>
      <c r="N102" s="6">
        <f>ROUND(H102*35%+I102*45%+VLOOKUP(G102,规则与说明!$A$6:$B$11,2,FALSE)*20%,1)</f>
        <v>70.599999999999994</v>
      </c>
      <c r="O102" s="6">
        <f>ROUND(H102*45%+I102*10%+VLOOKUP(G102,规则与说明!$A$6:$B$11,2,FALSE)*45%,1)</f>
        <v>71.3</v>
      </c>
      <c r="P102" s="7" t="s">
        <v>46</v>
      </c>
      <c r="Q102" s="1" t="s">
        <v>38</v>
      </c>
      <c r="R102" s="1" t="s">
        <v>221</v>
      </c>
    </row>
    <row r="103" spans="1:18" ht="15">
      <c r="A103" s="3">
        <v>99</v>
      </c>
      <c r="B103" s="1" t="s">
        <v>246</v>
      </c>
      <c r="C103" s="1" t="s">
        <v>218</v>
      </c>
      <c r="D103" s="1" t="s">
        <v>219</v>
      </c>
      <c r="E103" s="1">
        <v>1</v>
      </c>
      <c r="F103" s="1" t="s">
        <v>247</v>
      </c>
      <c r="G103" s="4">
        <v>4</v>
      </c>
      <c r="H103" s="5">
        <v>77</v>
      </c>
      <c r="I103" s="5">
        <v>67</v>
      </c>
      <c r="J103" s="5">
        <v>61</v>
      </c>
      <c r="K103" s="5">
        <v>72</v>
      </c>
      <c r="L103" s="5">
        <v>69</v>
      </c>
      <c r="M103" s="5">
        <v>72</v>
      </c>
      <c r="N103" s="6">
        <f>ROUND(H103*35%+I103*45%+VLOOKUP(G103,规则与说明!$A$6:$B$11,2,FALSE)*20%,1)</f>
        <v>71.099999999999994</v>
      </c>
      <c r="O103" s="6">
        <f>ROUND(H103*45%+I103*10%+VLOOKUP(G103,规则与说明!$A$6:$B$11,2,FALSE)*45%,1)</f>
        <v>72.900000000000006</v>
      </c>
      <c r="P103" s="7" t="s">
        <v>46</v>
      </c>
      <c r="Q103" s="1" t="s">
        <v>38</v>
      </c>
      <c r="R103" s="1" t="s">
        <v>221</v>
      </c>
    </row>
    <row r="104" spans="1:18" ht="15">
      <c r="A104" s="3">
        <v>100</v>
      </c>
      <c r="B104" s="1" t="s">
        <v>248</v>
      </c>
      <c r="C104" s="1" t="s">
        <v>218</v>
      </c>
      <c r="D104" s="1" t="s">
        <v>219</v>
      </c>
      <c r="E104" s="1">
        <v>1</v>
      </c>
      <c r="F104" s="1" t="s">
        <v>249</v>
      </c>
      <c r="G104" s="4">
        <v>4</v>
      </c>
      <c r="H104" s="5">
        <v>75</v>
      </c>
      <c r="I104" s="5">
        <v>73</v>
      </c>
      <c r="J104" s="5">
        <v>60</v>
      </c>
      <c r="K104" s="5">
        <v>67</v>
      </c>
      <c r="L104" s="5">
        <v>71</v>
      </c>
      <c r="M104" s="5">
        <v>72</v>
      </c>
      <c r="N104" s="6">
        <f>ROUND(H104*35%+I104*45%+VLOOKUP(G104,规则与说明!$A$6:$B$11,2,FALSE)*20%,1)</f>
        <v>73.099999999999994</v>
      </c>
      <c r="O104" s="6">
        <f>ROUND(H104*45%+I104*10%+VLOOKUP(G104,规则与说明!$A$6:$B$11,2,FALSE)*45%,1)</f>
        <v>72.599999999999994</v>
      </c>
      <c r="P104" s="7" t="s">
        <v>46</v>
      </c>
      <c r="Q104" s="1" t="s">
        <v>38</v>
      </c>
      <c r="R104" s="1" t="s">
        <v>221</v>
      </c>
    </row>
    <row r="105" spans="1:18" ht="15">
      <c r="A105" s="3">
        <v>101</v>
      </c>
      <c r="B105" s="1" t="s">
        <v>250</v>
      </c>
      <c r="C105" s="1" t="s">
        <v>218</v>
      </c>
      <c r="D105" s="1" t="s">
        <v>219</v>
      </c>
      <c r="E105" s="1">
        <v>1</v>
      </c>
      <c r="F105" s="1" t="s">
        <v>251</v>
      </c>
      <c r="G105" s="4">
        <v>4</v>
      </c>
      <c r="H105" s="5">
        <v>75</v>
      </c>
      <c r="I105" s="5">
        <v>71</v>
      </c>
      <c r="J105" s="5">
        <v>57</v>
      </c>
      <c r="K105" s="5">
        <v>73</v>
      </c>
      <c r="L105" s="5">
        <v>70</v>
      </c>
      <c r="M105" s="5">
        <v>68</v>
      </c>
      <c r="N105" s="6">
        <f>ROUND(H105*35%+I105*45%+VLOOKUP(G105,规则与说明!$A$6:$B$11,2,FALSE)*20%,1)</f>
        <v>72.2</v>
      </c>
      <c r="O105" s="6">
        <f>ROUND(H105*45%+I105*10%+VLOOKUP(G105,规则与说明!$A$6:$B$11,2,FALSE)*45%,1)</f>
        <v>72.400000000000006</v>
      </c>
      <c r="P105" s="7" t="s">
        <v>46</v>
      </c>
      <c r="Q105" s="1" t="s">
        <v>38</v>
      </c>
      <c r="R105" s="1" t="s">
        <v>221</v>
      </c>
    </row>
    <row r="106" spans="1:18" ht="15">
      <c r="A106" s="3">
        <v>102</v>
      </c>
      <c r="B106" s="1" t="s">
        <v>252</v>
      </c>
      <c r="C106" s="1" t="s">
        <v>218</v>
      </c>
      <c r="D106" s="1" t="s">
        <v>219</v>
      </c>
      <c r="E106" s="1">
        <v>1</v>
      </c>
      <c r="F106" s="1" t="s">
        <v>253</v>
      </c>
      <c r="G106" s="4">
        <v>4</v>
      </c>
      <c r="H106" s="5">
        <v>73</v>
      </c>
      <c r="I106" s="5">
        <v>67</v>
      </c>
      <c r="J106" s="5">
        <v>61</v>
      </c>
      <c r="K106" s="5">
        <v>68</v>
      </c>
      <c r="L106" s="5">
        <v>69</v>
      </c>
      <c r="M106" s="5">
        <v>75</v>
      </c>
      <c r="N106" s="6">
        <f>ROUND(H106*35%+I106*45%+VLOOKUP(G106,规则与说明!$A$6:$B$11,2,FALSE)*20%,1)</f>
        <v>69.7</v>
      </c>
      <c r="O106" s="6">
        <f>ROUND(H106*45%+I106*10%+VLOOKUP(G106,规则与说明!$A$6:$B$11,2,FALSE)*45%,1)</f>
        <v>71.099999999999994</v>
      </c>
      <c r="P106" s="7" t="s">
        <v>46</v>
      </c>
      <c r="Q106" s="1" t="s">
        <v>38</v>
      </c>
      <c r="R106" s="1" t="s">
        <v>221</v>
      </c>
    </row>
    <row r="107" spans="1:18" ht="15">
      <c r="A107" s="3">
        <v>103</v>
      </c>
      <c r="B107" s="1" t="s">
        <v>254</v>
      </c>
      <c r="C107" s="1" t="s">
        <v>218</v>
      </c>
      <c r="D107" s="1" t="s">
        <v>219</v>
      </c>
      <c r="E107" s="1">
        <v>1</v>
      </c>
      <c r="F107" s="1" t="s">
        <v>255</v>
      </c>
      <c r="G107" s="4">
        <v>4</v>
      </c>
      <c r="H107" s="5">
        <v>76</v>
      </c>
      <c r="I107" s="5">
        <v>74</v>
      </c>
      <c r="J107" s="5">
        <v>61</v>
      </c>
      <c r="K107" s="5">
        <v>68</v>
      </c>
      <c r="L107" s="5">
        <v>71</v>
      </c>
      <c r="M107" s="5">
        <v>69</v>
      </c>
      <c r="N107" s="6">
        <f>ROUND(H107*35%+I107*45%+VLOOKUP(G107,规则与说明!$A$6:$B$11,2,FALSE)*20%,1)</f>
        <v>73.900000000000006</v>
      </c>
      <c r="O107" s="6">
        <f>ROUND(H107*45%+I107*10%+VLOOKUP(G107,规则与说明!$A$6:$B$11,2,FALSE)*45%,1)</f>
        <v>73.099999999999994</v>
      </c>
      <c r="P107" s="7" t="s">
        <v>46</v>
      </c>
      <c r="Q107" s="1" t="s">
        <v>38</v>
      </c>
      <c r="R107" s="1" t="s">
        <v>221</v>
      </c>
    </row>
    <row r="108" spans="1:18" ht="15">
      <c r="A108" s="3">
        <v>104</v>
      </c>
      <c r="B108" s="1" t="s">
        <v>256</v>
      </c>
      <c r="C108" s="1" t="s">
        <v>218</v>
      </c>
      <c r="D108" s="1" t="s">
        <v>219</v>
      </c>
      <c r="E108" s="1">
        <v>1</v>
      </c>
      <c r="F108" s="1" t="s">
        <v>257</v>
      </c>
      <c r="G108" s="4">
        <v>4</v>
      </c>
      <c r="H108" s="5">
        <v>73</v>
      </c>
      <c r="I108" s="5">
        <v>75</v>
      </c>
      <c r="J108" s="5">
        <v>63</v>
      </c>
      <c r="K108" s="5">
        <v>68</v>
      </c>
      <c r="L108" s="5">
        <v>71</v>
      </c>
      <c r="M108" s="5">
        <v>73</v>
      </c>
      <c r="N108" s="6">
        <f>ROUND(H108*35%+I108*45%+VLOOKUP(G108,规则与说明!$A$6:$B$11,2,FALSE)*20%,1)</f>
        <v>73.3</v>
      </c>
      <c r="O108" s="6">
        <f>ROUND(H108*45%+I108*10%+VLOOKUP(G108,规则与说明!$A$6:$B$11,2,FALSE)*45%,1)</f>
        <v>71.900000000000006</v>
      </c>
      <c r="P108" s="7" t="s">
        <v>46</v>
      </c>
      <c r="Q108" s="1" t="s">
        <v>38</v>
      </c>
      <c r="R108" s="1" t="s">
        <v>221</v>
      </c>
    </row>
    <row r="109" spans="1:18" ht="15">
      <c r="A109" s="3">
        <v>105</v>
      </c>
      <c r="B109" s="1" t="s">
        <v>258</v>
      </c>
      <c r="C109" s="1" t="s">
        <v>218</v>
      </c>
      <c r="D109" s="1" t="s">
        <v>219</v>
      </c>
      <c r="E109" s="1">
        <v>1</v>
      </c>
      <c r="F109" s="1" t="s">
        <v>259</v>
      </c>
      <c r="G109" s="4">
        <v>4</v>
      </c>
      <c r="H109" s="5">
        <v>74</v>
      </c>
      <c r="I109" s="5">
        <v>67</v>
      </c>
      <c r="J109" s="5">
        <v>58</v>
      </c>
      <c r="K109" s="5">
        <v>69</v>
      </c>
      <c r="L109" s="5">
        <v>70</v>
      </c>
      <c r="M109" s="5">
        <v>70</v>
      </c>
      <c r="N109" s="6">
        <f>ROUND(H109*35%+I109*45%+VLOOKUP(G109,规则与说明!$A$6:$B$11,2,FALSE)*20%,1)</f>
        <v>70.099999999999994</v>
      </c>
      <c r="O109" s="6">
        <f>ROUND(H109*45%+I109*10%+VLOOKUP(G109,规则与说明!$A$6:$B$11,2,FALSE)*45%,1)</f>
        <v>71.5</v>
      </c>
      <c r="P109" s="7" t="s">
        <v>46</v>
      </c>
      <c r="Q109" s="1" t="s">
        <v>38</v>
      </c>
      <c r="R109" s="1" t="s">
        <v>221</v>
      </c>
    </row>
    <row r="110" spans="1:18" ht="15">
      <c r="A110" s="3">
        <v>106</v>
      </c>
      <c r="B110" s="1" t="s">
        <v>260</v>
      </c>
      <c r="C110" s="1" t="s">
        <v>218</v>
      </c>
      <c r="D110" s="1" t="s">
        <v>219</v>
      </c>
      <c r="E110" s="1">
        <v>1</v>
      </c>
      <c r="F110" s="1" t="s">
        <v>261</v>
      </c>
      <c r="G110" s="4">
        <v>4</v>
      </c>
      <c r="H110" s="5">
        <v>72</v>
      </c>
      <c r="I110" s="5">
        <v>71</v>
      </c>
      <c r="J110" s="5">
        <v>57</v>
      </c>
      <c r="K110" s="5">
        <v>65</v>
      </c>
      <c r="L110" s="5">
        <v>69</v>
      </c>
      <c r="M110" s="5">
        <v>74</v>
      </c>
      <c r="N110" s="6">
        <f>ROUND(H110*35%+I110*45%+VLOOKUP(G110,规则与说明!$A$6:$B$11,2,FALSE)*20%,1)</f>
        <v>71.2</v>
      </c>
      <c r="O110" s="6">
        <f>ROUND(H110*45%+I110*10%+VLOOKUP(G110,规则与说明!$A$6:$B$11,2,FALSE)*45%,1)</f>
        <v>71</v>
      </c>
      <c r="P110" s="7" t="s">
        <v>46</v>
      </c>
      <c r="Q110" s="1" t="s">
        <v>25</v>
      </c>
      <c r="R110" s="1" t="s">
        <v>221</v>
      </c>
    </row>
    <row r="111" spans="1:18" ht="15">
      <c r="A111" s="3">
        <v>107</v>
      </c>
      <c r="B111" s="1" t="s">
        <v>262</v>
      </c>
      <c r="C111" s="1" t="s">
        <v>218</v>
      </c>
      <c r="D111" s="1" t="s">
        <v>263</v>
      </c>
      <c r="E111" s="1">
        <v>2</v>
      </c>
      <c r="F111" s="1" t="s">
        <v>264</v>
      </c>
      <c r="G111" s="4">
        <v>4</v>
      </c>
      <c r="H111" s="5">
        <v>74</v>
      </c>
      <c r="I111" s="5">
        <v>70</v>
      </c>
      <c r="J111" s="5">
        <v>57</v>
      </c>
      <c r="K111" s="5">
        <v>68</v>
      </c>
      <c r="L111" s="5">
        <v>67</v>
      </c>
      <c r="M111" s="5">
        <v>75</v>
      </c>
      <c r="N111" s="6">
        <f>ROUND(H111*35%+I111*45%+VLOOKUP(G111,规则与说明!$A$6:$B$11,2,FALSE)*20%,1)</f>
        <v>71.400000000000006</v>
      </c>
      <c r="O111" s="6">
        <f>ROUND(H111*45%+I111*10%+VLOOKUP(G111,规则与说明!$A$6:$B$11,2,FALSE)*45%,1)</f>
        <v>71.8</v>
      </c>
      <c r="P111" s="7" t="s">
        <v>46</v>
      </c>
      <c r="Q111" s="1" t="s">
        <v>38</v>
      </c>
      <c r="R111" s="1" t="s">
        <v>265</v>
      </c>
    </row>
    <row r="112" spans="1:18" ht="15">
      <c r="A112" s="3">
        <v>108</v>
      </c>
      <c r="B112" s="1" t="s">
        <v>266</v>
      </c>
      <c r="C112" s="1" t="s">
        <v>218</v>
      </c>
      <c r="D112" s="1" t="s">
        <v>263</v>
      </c>
      <c r="E112" s="1">
        <v>2</v>
      </c>
      <c r="F112" s="1" t="s">
        <v>267</v>
      </c>
      <c r="G112" s="4">
        <v>4</v>
      </c>
      <c r="H112" s="5">
        <v>73</v>
      </c>
      <c r="I112" s="5">
        <v>71</v>
      </c>
      <c r="J112" s="5">
        <v>59</v>
      </c>
      <c r="K112" s="5">
        <v>69</v>
      </c>
      <c r="L112" s="5">
        <v>68</v>
      </c>
      <c r="M112" s="5">
        <v>72</v>
      </c>
      <c r="N112" s="6">
        <f>ROUND(H112*35%+I112*45%+VLOOKUP(G112,规则与说明!$A$6:$B$11,2,FALSE)*20%,1)</f>
        <v>71.5</v>
      </c>
      <c r="O112" s="6">
        <f>ROUND(H112*45%+I112*10%+VLOOKUP(G112,规则与说明!$A$6:$B$11,2,FALSE)*45%,1)</f>
        <v>71.5</v>
      </c>
      <c r="P112" s="7" t="s">
        <v>46</v>
      </c>
      <c r="Q112" s="1" t="s">
        <v>38</v>
      </c>
      <c r="R112" s="1" t="s">
        <v>265</v>
      </c>
    </row>
    <row r="113" spans="1:18" ht="15">
      <c r="A113" s="3">
        <v>109</v>
      </c>
      <c r="B113" s="1" t="s">
        <v>268</v>
      </c>
      <c r="C113" s="1" t="s">
        <v>218</v>
      </c>
      <c r="D113" s="1" t="s">
        <v>263</v>
      </c>
      <c r="E113" s="1">
        <v>2</v>
      </c>
      <c r="F113" s="1" t="s">
        <v>269</v>
      </c>
      <c r="G113" s="4">
        <v>4</v>
      </c>
      <c r="H113" s="5">
        <v>72</v>
      </c>
      <c r="I113" s="5">
        <v>70</v>
      </c>
      <c r="J113" s="5">
        <v>55</v>
      </c>
      <c r="K113" s="5">
        <v>64</v>
      </c>
      <c r="L113" s="5">
        <v>68</v>
      </c>
      <c r="M113" s="5">
        <v>73</v>
      </c>
      <c r="N113" s="6">
        <f>ROUND(H113*35%+I113*45%+VLOOKUP(G113,规则与说明!$A$6:$B$11,2,FALSE)*20%,1)</f>
        <v>70.7</v>
      </c>
      <c r="O113" s="6">
        <f>ROUND(H113*45%+I113*10%+VLOOKUP(G113,规则与说明!$A$6:$B$11,2,FALSE)*45%,1)</f>
        <v>70.900000000000006</v>
      </c>
      <c r="P113" s="7" t="s">
        <v>46</v>
      </c>
      <c r="Q113" s="1" t="s">
        <v>38</v>
      </c>
      <c r="R113" s="1" t="s">
        <v>265</v>
      </c>
    </row>
    <row r="114" spans="1:18" ht="15">
      <c r="A114" s="3">
        <v>110</v>
      </c>
      <c r="B114" s="1" t="s">
        <v>270</v>
      </c>
      <c r="C114" s="1" t="s">
        <v>218</v>
      </c>
      <c r="D114" s="1" t="s">
        <v>263</v>
      </c>
      <c r="E114" s="1">
        <v>2</v>
      </c>
      <c r="F114" s="1" t="s">
        <v>271</v>
      </c>
      <c r="G114" s="4">
        <v>4</v>
      </c>
      <c r="H114" s="5">
        <v>75</v>
      </c>
      <c r="I114" s="5">
        <v>75</v>
      </c>
      <c r="J114" s="5">
        <v>56</v>
      </c>
      <c r="K114" s="5">
        <v>66</v>
      </c>
      <c r="L114" s="5">
        <v>68</v>
      </c>
      <c r="M114" s="5">
        <v>77</v>
      </c>
      <c r="N114" s="6">
        <f>ROUND(H114*35%+I114*45%+VLOOKUP(G114,规则与说明!$A$6:$B$11,2,FALSE)*20%,1)</f>
        <v>74</v>
      </c>
      <c r="O114" s="6">
        <f>ROUND(H114*45%+I114*10%+VLOOKUP(G114,规则与说明!$A$6:$B$11,2,FALSE)*45%,1)</f>
        <v>72.8</v>
      </c>
      <c r="P114" s="7" t="s">
        <v>46</v>
      </c>
      <c r="Q114" s="1" t="s">
        <v>38</v>
      </c>
      <c r="R114" s="1" t="s">
        <v>265</v>
      </c>
    </row>
    <row r="115" spans="1:18" ht="15">
      <c r="A115" s="3">
        <v>111</v>
      </c>
      <c r="B115" s="1" t="s">
        <v>272</v>
      </c>
      <c r="C115" s="1" t="s">
        <v>218</v>
      </c>
      <c r="D115" s="1" t="s">
        <v>263</v>
      </c>
      <c r="E115" s="1">
        <v>2</v>
      </c>
      <c r="F115" s="1" t="s">
        <v>273</v>
      </c>
      <c r="G115" s="4">
        <v>4</v>
      </c>
      <c r="H115" s="5">
        <v>73</v>
      </c>
      <c r="I115" s="5">
        <v>75</v>
      </c>
      <c r="J115" s="5">
        <v>55</v>
      </c>
      <c r="K115" s="5">
        <v>68</v>
      </c>
      <c r="L115" s="5">
        <v>70</v>
      </c>
      <c r="M115" s="5">
        <v>70</v>
      </c>
      <c r="N115" s="6">
        <f>ROUND(H115*35%+I115*45%+VLOOKUP(G115,规则与说明!$A$6:$B$11,2,FALSE)*20%,1)</f>
        <v>73.3</v>
      </c>
      <c r="O115" s="6">
        <f>ROUND(H115*45%+I115*10%+VLOOKUP(G115,规则与说明!$A$6:$B$11,2,FALSE)*45%,1)</f>
        <v>71.900000000000006</v>
      </c>
      <c r="P115" s="7" t="s">
        <v>46</v>
      </c>
      <c r="Q115" s="1" t="s">
        <v>38</v>
      </c>
      <c r="R115" s="1" t="s">
        <v>265</v>
      </c>
    </row>
    <row r="116" spans="1:18" ht="15">
      <c r="A116" s="3">
        <v>112</v>
      </c>
      <c r="B116" s="1" t="s">
        <v>274</v>
      </c>
      <c r="C116" s="1" t="s">
        <v>218</v>
      </c>
      <c r="D116" s="1" t="s">
        <v>263</v>
      </c>
      <c r="E116" s="1">
        <v>2</v>
      </c>
      <c r="F116" s="1" t="s">
        <v>275</v>
      </c>
      <c r="G116" s="4">
        <v>4</v>
      </c>
      <c r="H116" s="5">
        <v>71</v>
      </c>
      <c r="I116" s="5">
        <v>69</v>
      </c>
      <c r="J116" s="5">
        <v>57</v>
      </c>
      <c r="K116" s="5">
        <v>63</v>
      </c>
      <c r="L116" s="5">
        <v>69</v>
      </c>
      <c r="M116" s="5">
        <v>70</v>
      </c>
      <c r="N116" s="6">
        <f>ROUND(H116*35%+I116*45%+VLOOKUP(G116,规则与说明!$A$6:$B$11,2,FALSE)*20%,1)</f>
        <v>69.900000000000006</v>
      </c>
      <c r="O116" s="6">
        <f>ROUND(H116*45%+I116*10%+VLOOKUP(G116,规则与说明!$A$6:$B$11,2,FALSE)*45%,1)</f>
        <v>70.400000000000006</v>
      </c>
      <c r="P116" s="7" t="s">
        <v>46</v>
      </c>
      <c r="Q116" s="1" t="s">
        <v>38</v>
      </c>
      <c r="R116" s="1" t="s">
        <v>265</v>
      </c>
    </row>
    <row r="117" spans="1:18" ht="15">
      <c r="A117" s="3">
        <v>113</v>
      </c>
      <c r="B117" s="1" t="s">
        <v>276</v>
      </c>
      <c r="C117" s="1" t="s">
        <v>218</v>
      </c>
      <c r="D117" s="1" t="s">
        <v>263</v>
      </c>
      <c r="E117" s="1">
        <v>2</v>
      </c>
      <c r="F117" s="1" t="s">
        <v>277</v>
      </c>
      <c r="G117" s="4">
        <v>5</v>
      </c>
      <c r="H117" s="5">
        <v>63</v>
      </c>
      <c r="I117" s="5">
        <v>62</v>
      </c>
      <c r="J117" s="5">
        <v>48</v>
      </c>
      <c r="K117" s="5">
        <v>52</v>
      </c>
      <c r="L117" s="5">
        <v>61</v>
      </c>
      <c r="M117" s="5">
        <v>77</v>
      </c>
      <c r="N117" s="6">
        <f>ROUND(H117*35%+I117*45%+VLOOKUP(G117,规则与说明!$A$6:$B$11,2,FALSE)*20%,1)</f>
        <v>62</v>
      </c>
      <c r="O117" s="6">
        <f>ROUND(H117*45%+I117*10%+VLOOKUP(G117,规则与说明!$A$6:$B$11,2,FALSE)*45%,1)</f>
        <v>61.6</v>
      </c>
      <c r="P117" s="7" t="s">
        <v>91</v>
      </c>
      <c r="Q117" s="1" t="s">
        <v>38</v>
      </c>
      <c r="R117" s="1" t="s">
        <v>265</v>
      </c>
    </row>
    <row r="118" spans="1:18" ht="15">
      <c r="A118" s="3">
        <v>114</v>
      </c>
      <c r="B118" s="1" t="s">
        <v>278</v>
      </c>
      <c r="C118" s="1" t="s">
        <v>218</v>
      </c>
      <c r="D118" s="1" t="s">
        <v>263</v>
      </c>
      <c r="E118" s="1">
        <v>2</v>
      </c>
      <c r="F118" s="1" t="s">
        <v>279</v>
      </c>
      <c r="G118" s="4">
        <v>5</v>
      </c>
      <c r="H118" s="5">
        <v>63</v>
      </c>
      <c r="I118" s="5">
        <v>62</v>
      </c>
      <c r="J118" s="5">
        <v>48</v>
      </c>
      <c r="K118" s="5">
        <v>53</v>
      </c>
      <c r="L118" s="5">
        <v>65</v>
      </c>
      <c r="M118" s="5">
        <v>80</v>
      </c>
      <c r="N118" s="6">
        <f>ROUND(H118*35%+I118*45%+VLOOKUP(G118,规则与说明!$A$6:$B$11,2,FALSE)*20%,1)</f>
        <v>62</v>
      </c>
      <c r="O118" s="6">
        <f>ROUND(H118*45%+I118*10%+VLOOKUP(G118,规则与说明!$A$6:$B$11,2,FALSE)*45%,1)</f>
        <v>61.6</v>
      </c>
      <c r="P118" s="7" t="s">
        <v>46</v>
      </c>
      <c r="Q118" s="1" t="s">
        <v>38</v>
      </c>
      <c r="R118" s="1" t="s">
        <v>265</v>
      </c>
    </row>
    <row r="119" spans="1:18" ht="15">
      <c r="A119" s="3">
        <v>115</v>
      </c>
      <c r="B119" s="1" t="s">
        <v>280</v>
      </c>
      <c r="C119" s="1" t="s">
        <v>218</v>
      </c>
      <c r="D119" s="1" t="s">
        <v>263</v>
      </c>
      <c r="E119" s="1">
        <v>2</v>
      </c>
      <c r="F119" s="1" t="s">
        <v>281</v>
      </c>
      <c r="G119" s="4">
        <v>5</v>
      </c>
      <c r="H119" s="5">
        <v>61</v>
      </c>
      <c r="I119" s="5">
        <v>61</v>
      </c>
      <c r="J119" s="5">
        <v>49</v>
      </c>
      <c r="K119" s="5">
        <v>51</v>
      </c>
      <c r="L119" s="5">
        <v>65</v>
      </c>
      <c r="M119" s="5">
        <v>79</v>
      </c>
      <c r="N119" s="6">
        <f>ROUND(H119*35%+I119*45%+VLOOKUP(G119,规则与说明!$A$6:$B$11,2,FALSE)*20%,1)</f>
        <v>60.8</v>
      </c>
      <c r="O119" s="6">
        <f>ROUND(H119*45%+I119*10%+VLOOKUP(G119,规则与说明!$A$6:$B$11,2,FALSE)*45%,1)</f>
        <v>60.6</v>
      </c>
      <c r="P119" s="7" t="s">
        <v>46</v>
      </c>
      <c r="Q119" s="1" t="s">
        <v>38</v>
      </c>
      <c r="R119" s="1" t="s">
        <v>265</v>
      </c>
    </row>
    <row r="120" spans="1:18" ht="15">
      <c r="A120" s="3">
        <v>116</v>
      </c>
      <c r="B120" s="1" t="s">
        <v>282</v>
      </c>
      <c r="C120" s="1" t="s">
        <v>218</v>
      </c>
      <c r="D120" s="1" t="s">
        <v>263</v>
      </c>
      <c r="E120" s="1">
        <v>2</v>
      </c>
      <c r="F120" s="1" t="s">
        <v>283</v>
      </c>
      <c r="G120" s="4">
        <v>5</v>
      </c>
      <c r="H120" s="5">
        <v>62</v>
      </c>
      <c r="I120" s="5">
        <v>61</v>
      </c>
      <c r="J120" s="5">
        <v>48</v>
      </c>
      <c r="K120" s="5">
        <v>53</v>
      </c>
      <c r="L120" s="5">
        <v>61</v>
      </c>
      <c r="M120" s="5">
        <v>74</v>
      </c>
      <c r="N120" s="6">
        <f>ROUND(H120*35%+I120*45%+VLOOKUP(G120,规则与说明!$A$6:$B$11,2,FALSE)*20%,1)</f>
        <v>61.2</v>
      </c>
      <c r="O120" s="6">
        <f>ROUND(H120*45%+I120*10%+VLOOKUP(G120,规则与说明!$A$6:$B$11,2,FALSE)*45%,1)</f>
        <v>61</v>
      </c>
      <c r="P120" s="7" t="s">
        <v>91</v>
      </c>
      <c r="Q120" s="1" t="s">
        <v>38</v>
      </c>
      <c r="R120" s="1" t="s">
        <v>265</v>
      </c>
    </row>
    <row r="121" spans="1:18" ht="15">
      <c r="A121" s="3">
        <v>117</v>
      </c>
      <c r="B121" s="1" t="s">
        <v>284</v>
      </c>
      <c r="C121" s="1" t="s">
        <v>218</v>
      </c>
      <c r="D121" s="1" t="s">
        <v>263</v>
      </c>
      <c r="E121" s="1">
        <v>2</v>
      </c>
      <c r="F121" s="1" t="s">
        <v>285</v>
      </c>
      <c r="G121" s="4">
        <v>5</v>
      </c>
      <c r="H121" s="5">
        <v>64</v>
      </c>
      <c r="I121" s="5">
        <v>60</v>
      </c>
      <c r="J121" s="5">
        <v>47</v>
      </c>
      <c r="K121" s="5">
        <v>51</v>
      </c>
      <c r="L121" s="5">
        <v>64</v>
      </c>
      <c r="M121" s="5">
        <v>82</v>
      </c>
      <c r="N121" s="6">
        <f>ROUND(H121*35%+I121*45%+VLOOKUP(G121,规则与说明!$A$6:$B$11,2,FALSE)*20%,1)</f>
        <v>61.4</v>
      </c>
      <c r="O121" s="6">
        <f>ROUND(H121*45%+I121*10%+VLOOKUP(G121,规则与说明!$A$6:$B$11,2,FALSE)*45%,1)</f>
        <v>61.8</v>
      </c>
      <c r="P121" s="7" t="s">
        <v>46</v>
      </c>
      <c r="Q121" s="1" t="s">
        <v>38</v>
      </c>
      <c r="R121" s="1" t="s">
        <v>265</v>
      </c>
    </row>
    <row r="122" spans="1:18" ht="15">
      <c r="A122" s="3">
        <v>118</v>
      </c>
      <c r="B122" s="1" t="s">
        <v>286</v>
      </c>
      <c r="C122" s="1" t="s">
        <v>218</v>
      </c>
      <c r="D122" s="1" t="s">
        <v>263</v>
      </c>
      <c r="E122" s="1">
        <v>2</v>
      </c>
      <c r="F122" s="1" t="s">
        <v>287</v>
      </c>
      <c r="G122" s="4">
        <v>5</v>
      </c>
      <c r="H122" s="5">
        <v>61</v>
      </c>
      <c r="I122" s="5">
        <v>59</v>
      </c>
      <c r="J122" s="5">
        <v>47</v>
      </c>
      <c r="K122" s="5">
        <v>57</v>
      </c>
      <c r="L122" s="5">
        <v>63</v>
      </c>
      <c r="M122" s="5">
        <v>75</v>
      </c>
      <c r="N122" s="6">
        <f>ROUND(H122*35%+I122*45%+VLOOKUP(G122,规则与说明!$A$6:$B$11,2,FALSE)*20%,1)</f>
        <v>59.9</v>
      </c>
      <c r="O122" s="6">
        <f>ROUND(H122*45%+I122*10%+VLOOKUP(G122,规则与说明!$A$6:$B$11,2,FALSE)*45%,1)</f>
        <v>60.4</v>
      </c>
      <c r="P122" s="7" t="s">
        <v>46</v>
      </c>
      <c r="Q122" s="1" t="s">
        <v>38</v>
      </c>
      <c r="R122" s="1" t="s">
        <v>265</v>
      </c>
    </row>
    <row r="123" spans="1:18" ht="15">
      <c r="A123" s="3">
        <v>119</v>
      </c>
      <c r="B123" s="1" t="s">
        <v>288</v>
      </c>
      <c r="C123" s="1" t="s">
        <v>218</v>
      </c>
      <c r="D123" s="1" t="s">
        <v>263</v>
      </c>
      <c r="E123" s="1">
        <v>2</v>
      </c>
      <c r="F123" s="1" t="s">
        <v>289</v>
      </c>
      <c r="G123" s="4">
        <v>5</v>
      </c>
      <c r="H123" s="5">
        <v>62</v>
      </c>
      <c r="I123" s="5">
        <v>67</v>
      </c>
      <c r="J123" s="5">
        <v>48</v>
      </c>
      <c r="K123" s="5">
        <v>55</v>
      </c>
      <c r="L123" s="5">
        <v>61</v>
      </c>
      <c r="M123" s="5">
        <v>80</v>
      </c>
      <c r="N123" s="6">
        <f>ROUND(H123*35%+I123*45%+VLOOKUP(G123,规则与说明!$A$6:$B$11,2,FALSE)*20%,1)</f>
        <v>63.9</v>
      </c>
      <c r="O123" s="6">
        <f>ROUND(H123*45%+I123*10%+VLOOKUP(G123,规则与说明!$A$6:$B$11,2,FALSE)*45%,1)</f>
        <v>61.6</v>
      </c>
      <c r="P123" s="7" t="s">
        <v>91</v>
      </c>
      <c r="Q123" s="1" t="s">
        <v>38</v>
      </c>
      <c r="R123" s="1" t="s">
        <v>265</v>
      </c>
    </row>
    <row r="124" spans="1:18" ht="15">
      <c r="A124" s="3">
        <v>120</v>
      </c>
      <c r="B124" s="1" t="s">
        <v>290</v>
      </c>
      <c r="C124" s="1" t="s">
        <v>218</v>
      </c>
      <c r="D124" s="1" t="s">
        <v>263</v>
      </c>
      <c r="E124" s="1">
        <v>2</v>
      </c>
      <c r="F124" s="1" t="s">
        <v>291</v>
      </c>
      <c r="G124" s="4">
        <v>5</v>
      </c>
      <c r="H124" s="5">
        <v>62</v>
      </c>
      <c r="I124" s="5">
        <v>59</v>
      </c>
      <c r="J124" s="5">
        <v>51</v>
      </c>
      <c r="K124" s="5">
        <v>57</v>
      </c>
      <c r="L124" s="5">
        <v>61</v>
      </c>
      <c r="M124" s="5">
        <v>75</v>
      </c>
      <c r="N124" s="6">
        <f>ROUND(H124*35%+I124*45%+VLOOKUP(G124,规则与说明!$A$6:$B$11,2,FALSE)*20%,1)</f>
        <v>60.3</v>
      </c>
      <c r="O124" s="6">
        <f>ROUND(H124*45%+I124*10%+VLOOKUP(G124,规则与说明!$A$6:$B$11,2,FALSE)*45%,1)</f>
        <v>60.8</v>
      </c>
      <c r="P124" s="7" t="s">
        <v>91</v>
      </c>
      <c r="Q124" s="1" t="s">
        <v>38</v>
      </c>
      <c r="R124" s="1" t="s">
        <v>265</v>
      </c>
    </row>
    <row r="125" spans="1:18" ht="15">
      <c r="A125" s="3">
        <v>121</v>
      </c>
      <c r="B125" s="1" t="s">
        <v>292</v>
      </c>
      <c r="C125" s="1" t="s">
        <v>218</v>
      </c>
      <c r="D125" s="1" t="s">
        <v>263</v>
      </c>
      <c r="E125" s="1">
        <v>2</v>
      </c>
      <c r="F125" s="1" t="s">
        <v>293</v>
      </c>
      <c r="G125" s="4">
        <v>5</v>
      </c>
      <c r="H125" s="5">
        <v>64</v>
      </c>
      <c r="I125" s="5">
        <v>63</v>
      </c>
      <c r="J125" s="5">
        <v>48</v>
      </c>
      <c r="K125" s="5">
        <v>57</v>
      </c>
      <c r="L125" s="5">
        <v>64</v>
      </c>
      <c r="M125" s="5">
        <v>76</v>
      </c>
      <c r="N125" s="6">
        <f>ROUND(H125*35%+I125*45%+VLOOKUP(G125,规则与说明!$A$6:$B$11,2,FALSE)*20%,1)</f>
        <v>62.8</v>
      </c>
      <c r="O125" s="6">
        <f>ROUND(H125*45%+I125*10%+VLOOKUP(G125,规则与说明!$A$6:$B$11,2,FALSE)*45%,1)</f>
        <v>62.1</v>
      </c>
      <c r="P125" s="7" t="s">
        <v>46</v>
      </c>
      <c r="Q125" s="1" t="s">
        <v>38</v>
      </c>
      <c r="R125" s="1" t="s">
        <v>265</v>
      </c>
    </row>
    <row r="126" spans="1:18" ht="15">
      <c r="A126" s="3">
        <v>122</v>
      </c>
      <c r="B126" s="1" t="s">
        <v>294</v>
      </c>
      <c r="C126" s="1" t="s">
        <v>218</v>
      </c>
      <c r="D126" s="1" t="s">
        <v>263</v>
      </c>
      <c r="E126" s="1">
        <v>2</v>
      </c>
      <c r="F126" s="1" t="s">
        <v>295</v>
      </c>
      <c r="G126" s="4">
        <v>6</v>
      </c>
      <c r="H126" s="5">
        <v>53</v>
      </c>
      <c r="I126" s="5">
        <v>47</v>
      </c>
      <c r="J126" s="5">
        <v>31</v>
      </c>
      <c r="K126" s="5">
        <v>41</v>
      </c>
      <c r="L126" s="5">
        <v>57</v>
      </c>
      <c r="M126" s="5">
        <v>81</v>
      </c>
      <c r="N126" s="6">
        <f>ROUND(H126*35%+I126*45%+VLOOKUP(G126,规则与说明!$A$6:$B$11,2,FALSE)*20%,1)</f>
        <v>49.7</v>
      </c>
      <c r="O126" s="6">
        <f>ROUND(H126*45%+I126*10%+VLOOKUP(G126,规则与说明!$A$6:$B$11,2,FALSE)*45%,1)</f>
        <v>51.1</v>
      </c>
      <c r="P126" s="7" t="s">
        <v>91</v>
      </c>
      <c r="Q126" s="1" t="s">
        <v>38</v>
      </c>
      <c r="R126" s="1" t="s">
        <v>265</v>
      </c>
    </row>
    <row r="127" spans="1:18" ht="15">
      <c r="A127" s="3">
        <v>123</v>
      </c>
      <c r="B127" s="1" t="s">
        <v>296</v>
      </c>
      <c r="C127" s="1" t="s">
        <v>218</v>
      </c>
      <c r="D127" s="1" t="s">
        <v>263</v>
      </c>
      <c r="E127" s="1">
        <v>2</v>
      </c>
      <c r="F127" s="1" t="s">
        <v>297</v>
      </c>
      <c r="G127" s="4">
        <v>6</v>
      </c>
      <c r="H127" s="5">
        <v>50</v>
      </c>
      <c r="I127" s="5">
        <v>50</v>
      </c>
      <c r="J127" s="5">
        <v>32</v>
      </c>
      <c r="K127" s="5">
        <v>36</v>
      </c>
      <c r="L127" s="5">
        <v>58</v>
      </c>
      <c r="M127" s="5">
        <v>86</v>
      </c>
      <c r="N127" s="6">
        <f>ROUND(H127*35%+I127*45%+VLOOKUP(G127,规则与说明!$A$6:$B$11,2,FALSE)*20%,1)</f>
        <v>50</v>
      </c>
      <c r="O127" s="6">
        <f>ROUND(H127*45%+I127*10%+VLOOKUP(G127,规则与说明!$A$6:$B$11,2,FALSE)*45%,1)</f>
        <v>50</v>
      </c>
      <c r="P127" s="7" t="s">
        <v>91</v>
      </c>
      <c r="Q127" s="1" t="s">
        <v>38</v>
      </c>
      <c r="R127" s="1" t="s">
        <v>265</v>
      </c>
    </row>
    <row r="128" spans="1:18" ht="15">
      <c r="A128" s="3">
        <v>124</v>
      </c>
      <c r="B128" s="1" t="s">
        <v>298</v>
      </c>
      <c r="C128" s="1" t="s">
        <v>218</v>
      </c>
      <c r="D128" s="1" t="s">
        <v>263</v>
      </c>
      <c r="E128" s="1">
        <v>2</v>
      </c>
      <c r="F128" s="1" t="s">
        <v>299</v>
      </c>
      <c r="G128" s="4">
        <v>6</v>
      </c>
      <c r="H128" s="5">
        <v>50</v>
      </c>
      <c r="I128" s="5">
        <v>48</v>
      </c>
      <c r="J128" s="5">
        <v>36</v>
      </c>
      <c r="K128" s="5">
        <v>38</v>
      </c>
      <c r="L128" s="5">
        <v>56</v>
      </c>
      <c r="M128" s="5">
        <v>85</v>
      </c>
      <c r="N128" s="6">
        <f>ROUND(H128*35%+I128*45%+VLOOKUP(G128,规则与说明!$A$6:$B$11,2,FALSE)*20%,1)</f>
        <v>49.1</v>
      </c>
      <c r="O128" s="6">
        <f>ROUND(H128*45%+I128*10%+VLOOKUP(G128,规则与说明!$A$6:$B$11,2,FALSE)*45%,1)</f>
        <v>49.8</v>
      </c>
      <c r="P128" s="7" t="s">
        <v>91</v>
      </c>
      <c r="Q128" s="1" t="s">
        <v>38</v>
      </c>
      <c r="R128" s="1" t="s">
        <v>265</v>
      </c>
    </row>
    <row r="129" spans="1:18" ht="15">
      <c r="A129" s="3">
        <v>125</v>
      </c>
      <c r="B129" s="1" t="s">
        <v>300</v>
      </c>
      <c r="C129" s="1" t="s">
        <v>218</v>
      </c>
      <c r="D129" s="1" t="s">
        <v>263</v>
      </c>
      <c r="E129" s="1">
        <v>2</v>
      </c>
      <c r="F129" s="1" t="s">
        <v>301</v>
      </c>
      <c r="G129" s="4">
        <v>6</v>
      </c>
      <c r="H129" s="5">
        <v>50</v>
      </c>
      <c r="I129" s="5">
        <v>52</v>
      </c>
      <c r="J129" s="5">
        <v>36</v>
      </c>
      <c r="K129" s="5">
        <v>36</v>
      </c>
      <c r="L129" s="5">
        <v>56</v>
      </c>
      <c r="M129" s="5">
        <v>84</v>
      </c>
      <c r="N129" s="6">
        <f>ROUND(H129*35%+I129*45%+VLOOKUP(G129,规则与说明!$A$6:$B$11,2,FALSE)*20%,1)</f>
        <v>50.9</v>
      </c>
      <c r="O129" s="6">
        <f>ROUND(H129*45%+I129*10%+VLOOKUP(G129,规则与说明!$A$6:$B$11,2,FALSE)*45%,1)</f>
        <v>50.2</v>
      </c>
      <c r="P129" s="7" t="s">
        <v>91</v>
      </c>
      <c r="Q129" s="1" t="s">
        <v>38</v>
      </c>
      <c r="R129" s="1" t="s">
        <v>265</v>
      </c>
    </row>
    <row r="130" spans="1:18" ht="15">
      <c r="A130" s="3">
        <v>126</v>
      </c>
      <c r="B130" s="1" t="s">
        <v>302</v>
      </c>
      <c r="C130" s="1" t="s">
        <v>218</v>
      </c>
      <c r="D130" s="1" t="s">
        <v>263</v>
      </c>
      <c r="E130" s="1">
        <v>2</v>
      </c>
      <c r="F130" s="1" t="s">
        <v>303</v>
      </c>
      <c r="G130" s="4">
        <v>6</v>
      </c>
      <c r="H130" s="5">
        <v>51</v>
      </c>
      <c r="I130" s="5">
        <v>52</v>
      </c>
      <c r="J130" s="5">
        <v>33</v>
      </c>
      <c r="K130" s="5">
        <v>35</v>
      </c>
      <c r="L130" s="5">
        <v>58</v>
      </c>
      <c r="M130" s="5">
        <v>83</v>
      </c>
      <c r="N130" s="6">
        <f>ROUND(H130*35%+I130*45%+VLOOKUP(G130,规则与说明!$A$6:$B$11,2,FALSE)*20%,1)</f>
        <v>51.3</v>
      </c>
      <c r="O130" s="6">
        <f>ROUND(H130*45%+I130*10%+VLOOKUP(G130,规则与说明!$A$6:$B$11,2,FALSE)*45%,1)</f>
        <v>50.7</v>
      </c>
      <c r="P130" s="7" t="s">
        <v>91</v>
      </c>
      <c r="Q130" s="1" t="s">
        <v>38</v>
      </c>
      <c r="R130" s="1" t="s">
        <v>265</v>
      </c>
    </row>
    <row r="131" spans="1:18" ht="30" hidden="1">
      <c r="A131" s="3">
        <v>127</v>
      </c>
      <c r="B131" s="1" t="s">
        <v>304</v>
      </c>
      <c r="C131" s="1" t="s">
        <v>305</v>
      </c>
      <c r="D131" s="1" t="s">
        <v>306</v>
      </c>
      <c r="E131" s="1">
        <v>1</v>
      </c>
      <c r="F131" s="1" t="s">
        <v>307</v>
      </c>
      <c r="G131" s="4">
        <v>1</v>
      </c>
      <c r="H131" s="5">
        <v>98</v>
      </c>
      <c r="I131" s="5">
        <v>94</v>
      </c>
      <c r="J131" s="5">
        <v>98</v>
      </c>
      <c r="K131" s="5">
        <v>98</v>
      </c>
      <c r="L131" s="5">
        <v>87</v>
      </c>
      <c r="M131" s="5">
        <v>80</v>
      </c>
      <c r="N131" s="6">
        <f>ROUND(H131*35%+I131*45%+VLOOKUP(G131,规则与说明!$A$6:$B$11,2,FALSE)*20%,1)</f>
        <v>95.4</v>
      </c>
      <c r="O131" s="6">
        <f>ROUND(H131*45%+I131*10%+VLOOKUP(G131,规则与说明!$A$6:$B$11,2,FALSE)*45%,1)</f>
        <v>95.8</v>
      </c>
      <c r="P131" s="7" t="s">
        <v>24</v>
      </c>
      <c r="Q131" s="1" t="s">
        <v>25</v>
      </c>
      <c r="R131" s="1" t="s">
        <v>308</v>
      </c>
    </row>
    <row r="132" spans="1:18" ht="15" hidden="1">
      <c r="A132" s="3">
        <v>128</v>
      </c>
      <c r="B132" s="1" t="s">
        <v>309</v>
      </c>
      <c r="C132" s="1" t="s">
        <v>305</v>
      </c>
      <c r="D132" s="1" t="s">
        <v>306</v>
      </c>
      <c r="E132" s="1">
        <v>1</v>
      </c>
      <c r="F132" s="1" t="s">
        <v>310</v>
      </c>
      <c r="G132" s="4">
        <v>2</v>
      </c>
      <c r="H132" s="5">
        <v>91</v>
      </c>
      <c r="I132" s="5">
        <v>90</v>
      </c>
      <c r="J132" s="5">
        <v>83</v>
      </c>
      <c r="K132" s="5">
        <v>89</v>
      </c>
      <c r="L132" s="5">
        <v>81</v>
      </c>
      <c r="M132" s="5">
        <v>84</v>
      </c>
      <c r="N132" s="6">
        <f>ROUND(H132*35%+I132*45%+VLOOKUP(G132,规则与说明!$A$6:$B$11,2,FALSE)*20%,1)</f>
        <v>89.8</v>
      </c>
      <c r="O132" s="6">
        <f>ROUND(H132*45%+I132*10%+VLOOKUP(G132,规则与说明!$A$6:$B$11,2,FALSE)*45%,1)</f>
        <v>89.1</v>
      </c>
      <c r="P132" s="7" t="s">
        <v>311</v>
      </c>
      <c r="Q132" s="1" t="s">
        <v>25</v>
      </c>
      <c r="R132" s="1" t="s">
        <v>308</v>
      </c>
    </row>
    <row r="133" spans="1:18" ht="30" hidden="1">
      <c r="A133" s="3">
        <v>129</v>
      </c>
      <c r="B133" s="1" t="s">
        <v>312</v>
      </c>
      <c r="C133" s="1" t="s">
        <v>305</v>
      </c>
      <c r="D133" s="1" t="s">
        <v>306</v>
      </c>
      <c r="E133" s="1">
        <v>1</v>
      </c>
      <c r="F133" s="1" t="s">
        <v>313</v>
      </c>
      <c r="G133" s="4">
        <v>2</v>
      </c>
      <c r="H133" s="5">
        <v>89</v>
      </c>
      <c r="I133" s="5">
        <v>95</v>
      </c>
      <c r="J133" s="5">
        <v>84</v>
      </c>
      <c r="K133" s="5">
        <v>91</v>
      </c>
      <c r="L133" s="5">
        <v>83</v>
      </c>
      <c r="M133" s="5">
        <v>93</v>
      </c>
      <c r="N133" s="6">
        <f>ROUND(H133*35%+I133*45%+VLOOKUP(G133,规则与说明!$A$6:$B$11,2,FALSE)*20%,1)</f>
        <v>91.3</v>
      </c>
      <c r="O133" s="6">
        <f>ROUND(H133*45%+I133*10%+VLOOKUP(G133,规则与说明!$A$6:$B$11,2,FALSE)*45%,1)</f>
        <v>88.7</v>
      </c>
      <c r="P133" s="7" t="s">
        <v>314</v>
      </c>
      <c r="Q133" s="1" t="s">
        <v>25</v>
      </c>
      <c r="R133" s="1" t="s">
        <v>308</v>
      </c>
    </row>
    <row r="134" spans="1:18" ht="15" hidden="1">
      <c r="A134" s="3">
        <v>130</v>
      </c>
      <c r="B134" s="1" t="s">
        <v>315</v>
      </c>
      <c r="C134" s="1" t="s">
        <v>305</v>
      </c>
      <c r="D134" s="1" t="s">
        <v>306</v>
      </c>
      <c r="E134" s="1">
        <v>1</v>
      </c>
      <c r="F134" s="1" t="s">
        <v>316</v>
      </c>
      <c r="G134" s="4">
        <v>2</v>
      </c>
      <c r="H134" s="5">
        <v>89</v>
      </c>
      <c r="I134" s="5">
        <v>88</v>
      </c>
      <c r="J134" s="5">
        <v>80</v>
      </c>
      <c r="K134" s="5">
        <v>90</v>
      </c>
      <c r="L134" s="5">
        <v>83</v>
      </c>
      <c r="M134" s="5">
        <v>80</v>
      </c>
      <c r="N134" s="6">
        <f>ROUND(H134*35%+I134*45%+VLOOKUP(G134,规则与说明!$A$6:$B$11,2,FALSE)*20%,1)</f>
        <v>88.2</v>
      </c>
      <c r="O134" s="6">
        <f>ROUND(H134*45%+I134*10%+VLOOKUP(G134,规则与说明!$A$6:$B$11,2,FALSE)*45%,1)</f>
        <v>88</v>
      </c>
      <c r="P134" s="7" t="s">
        <v>317</v>
      </c>
      <c r="Q134" s="1" t="s">
        <v>25</v>
      </c>
      <c r="R134" s="1" t="s">
        <v>308</v>
      </c>
    </row>
    <row r="135" spans="1:18" ht="15" hidden="1">
      <c r="A135" s="3">
        <v>131</v>
      </c>
      <c r="B135" s="1" t="s">
        <v>318</v>
      </c>
      <c r="C135" s="1" t="s">
        <v>305</v>
      </c>
      <c r="D135" s="1" t="s">
        <v>306</v>
      </c>
      <c r="E135" s="1">
        <v>1</v>
      </c>
      <c r="F135" s="1" t="s">
        <v>319</v>
      </c>
      <c r="G135" s="4">
        <v>2</v>
      </c>
      <c r="H135" s="5">
        <v>91</v>
      </c>
      <c r="I135" s="5">
        <v>85</v>
      </c>
      <c r="J135" s="5">
        <v>82</v>
      </c>
      <c r="K135" s="5">
        <v>86</v>
      </c>
      <c r="L135" s="5">
        <v>79</v>
      </c>
      <c r="M135" s="5">
        <v>76</v>
      </c>
      <c r="N135" s="6">
        <f>ROUND(H135*35%+I135*45%+VLOOKUP(G135,规则与说明!$A$6:$B$11,2,FALSE)*20%,1)</f>
        <v>87.5</v>
      </c>
      <c r="O135" s="6">
        <f>ROUND(H135*45%+I135*10%+VLOOKUP(G135,规则与说明!$A$6:$B$11,2,FALSE)*45%,1)</f>
        <v>88.6</v>
      </c>
      <c r="P135" s="7" t="s">
        <v>141</v>
      </c>
      <c r="Q135" s="1" t="s">
        <v>38</v>
      </c>
      <c r="R135" s="1" t="s">
        <v>308</v>
      </c>
    </row>
    <row r="136" spans="1:18" ht="15" hidden="1">
      <c r="A136" s="3">
        <v>132</v>
      </c>
      <c r="B136" s="1" t="s">
        <v>320</v>
      </c>
      <c r="C136" s="1" t="s">
        <v>305</v>
      </c>
      <c r="D136" s="1" t="s">
        <v>306</v>
      </c>
      <c r="E136" s="1">
        <v>1</v>
      </c>
      <c r="F136" s="1" t="s">
        <v>321</v>
      </c>
      <c r="G136" s="4">
        <v>3</v>
      </c>
      <c r="H136" s="5">
        <v>83</v>
      </c>
      <c r="I136" s="5">
        <v>83</v>
      </c>
      <c r="J136" s="5">
        <v>71</v>
      </c>
      <c r="K136" s="5">
        <v>80</v>
      </c>
      <c r="L136" s="5">
        <v>76</v>
      </c>
      <c r="M136" s="5">
        <v>77</v>
      </c>
      <c r="N136" s="6">
        <f>ROUND(H136*35%+I136*45%+VLOOKUP(G136,规则与说明!$A$6:$B$11,2,FALSE)*20%,1)</f>
        <v>82.2</v>
      </c>
      <c r="O136" s="6">
        <f>ROUND(H136*45%+I136*10%+VLOOKUP(G136,规则与说明!$A$6:$B$11,2,FALSE)*45%,1)</f>
        <v>81.2</v>
      </c>
      <c r="P136" s="7" t="s">
        <v>46</v>
      </c>
      <c r="Q136" s="1" t="s">
        <v>38</v>
      </c>
      <c r="R136" s="1" t="s">
        <v>308</v>
      </c>
    </row>
    <row r="137" spans="1:18" ht="15" hidden="1">
      <c r="A137" s="3">
        <v>133</v>
      </c>
      <c r="B137" s="1" t="s">
        <v>322</v>
      </c>
      <c r="C137" s="1" t="s">
        <v>305</v>
      </c>
      <c r="D137" s="1" t="s">
        <v>306</v>
      </c>
      <c r="E137" s="1">
        <v>1</v>
      </c>
      <c r="F137" s="1" t="s">
        <v>323</v>
      </c>
      <c r="G137" s="4">
        <v>3</v>
      </c>
      <c r="H137" s="5">
        <v>84</v>
      </c>
      <c r="I137" s="5">
        <v>90</v>
      </c>
      <c r="J137" s="5">
        <v>70</v>
      </c>
      <c r="K137" s="5">
        <v>79</v>
      </c>
      <c r="L137" s="5">
        <v>75</v>
      </c>
      <c r="M137" s="5">
        <v>90</v>
      </c>
      <c r="N137" s="6">
        <f>ROUND(H137*35%+I137*45%+VLOOKUP(G137,规则与说明!$A$6:$B$11,2,FALSE)*20%,1)</f>
        <v>85.7</v>
      </c>
      <c r="O137" s="6">
        <f>ROUND(H137*45%+I137*10%+VLOOKUP(G137,规则与说明!$A$6:$B$11,2,FALSE)*45%,1)</f>
        <v>82.4</v>
      </c>
      <c r="P137" s="7" t="s">
        <v>132</v>
      </c>
      <c r="Q137" s="1" t="s">
        <v>25</v>
      </c>
      <c r="R137" s="1" t="s">
        <v>308</v>
      </c>
    </row>
    <row r="138" spans="1:18" ht="15" hidden="1">
      <c r="A138" s="3">
        <v>134</v>
      </c>
      <c r="B138" s="1" t="s">
        <v>324</v>
      </c>
      <c r="C138" s="1" t="s">
        <v>305</v>
      </c>
      <c r="D138" s="1" t="s">
        <v>306</v>
      </c>
      <c r="E138" s="1">
        <v>1</v>
      </c>
      <c r="F138" s="1" t="s">
        <v>325</v>
      </c>
      <c r="G138" s="4">
        <v>3</v>
      </c>
      <c r="H138" s="5">
        <v>83</v>
      </c>
      <c r="I138" s="5">
        <v>82</v>
      </c>
      <c r="J138" s="5">
        <v>70</v>
      </c>
      <c r="K138" s="5">
        <v>78</v>
      </c>
      <c r="L138" s="5">
        <v>79</v>
      </c>
      <c r="M138" s="5">
        <v>77</v>
      </c>
      <c r="N138" s="6">
        <f>ROUND(H138*35%+I138*45%+VLOOKUP(G138,规则与说明!$A$6:$B$11,2,FALSE)*20%,1)</f>
        <v>81.8</v>
      </c>
      <c r="O138" s="6">
        <f>ROUND(H138*45%+I138*10%+VLOOKUP(G138,规则与说明!$A$6:$B$11,2,FALSE)*45%,1)</f>
        <v>81.099999999999994</v>
      </c>
      <c r="P138" s="7" t="s">
        <v>46</v>
      </c>
      <c r="Q138" s="1" t="s">
        <v>38</v>
      </c>
      <c r="R138" s="1" t="s">
        <v>308</v>
      </c>
    </row>
    <row r="139" spans="1:18" ht="15" hidden="1">
      <c r="A139" s="3">
        <v>135</v>
      </c>
      <c r="B139" s="1" t="s">
        <v>326</v>
      </c>
      <c r="C139" s="1" t="s">
        <v>305</v>
      </c>
      <c r="D139" s="1" t="s">
        <v>306</v>
      </c>
      <c r="E139" s="1">
        <v>1</v>
      </c>
      <c r="F139" s="1" t="s">
        <v>327</v>
      </c>
      <c r="G139" s="4">
        <v>3</v>
      </c>
      <c r="H139" s="5">
        <v>83</v>
      </c>
      <c r="I139" s="5">
        <v>92</v>
      </c>
      <c r="J139" s="5">
        <v>74</v>
      </c>
      <c r="K139" s="5">
        <v>80</v>
      </c>
      <c r="L139" s="5">
        <v>78</v>
      </c>
      <c r="M139" s="5">
        <v>88</v>
      </c>
      <c r="N139" s="6">
        <f>ROUND(H139*35%+I139*45%+VLOOKUP(G139,规则与说明!$A$6:$B$11,2,FALSE)*20%,1)</f>
        <v>86.3</v>
      </c>
      <c r="O139" s="6">
        <f>ROUND(H139*45%+I139*10%+VLOOKUP(G139,规则与说明!$A$6:$B$11,2,FALSE)*45%,1)</f>
        <v>82.1</v>
      </c>
      <c r="P139" s="7" t="s">
        <v>132</v>
      </c>
      <c r="Q139" s="1" t="s">
        <v>25</v>
      </c>
      <c r="R139" s="1" t="s">
        <v>308</v>
      </c>
    </row>
    <row r="140" spans="1:18" ht="15" hidden="1">
      <c r="A140" s="3">
        <v>136</v>
      </c>
      <c r="B140" s="1" t="s">
        <v>328</v>
      </c>
      <c r="C140" s="1" t="s">
        <v>305</v>
      </c>
      <c r="D140" s="1" t="s">
        <v>306</v>
      </c>
      <c r="E140" s="1">
        <v>1</v>
      </c>
      <c r="F140" s="1" t="s">
        <v>329</v>
      </c>
      <c r="G140" s="4">
        <v>4</v>
      </c>
      <c r="H140" s="5">
        <v>77</v>
      </c>
      <c r="I140" s="5">
        <v>71</v>
      </c>
      <c r="J140" s="5">
        <v>64</v>
      </c>
      <c r="K140" s="5">
        <v>69</v>
      </c>
      <c r="L140" s="5">
        <v>69</v>
      </c>
      <c r="M140" s="5">
        <v>81</v>
      </c>
      <c r="N140" s="6">
        <f>ROUND(H140*35%+I140*45%+VLOOKUP(G140,规则与说明!$A$6:$B$11,2,FALSE)*20%,1)</f>
        <v>72.900000000000006</v>
      </c>
      <c r="O140" s="6">
        <f>ROUND(H140*45%+I140*10%+VLOOKUP(G140,规则与说明!$A$6:$B$11,2,FALSE)*45%,1)</f>
        <v>73.3</v>
      </c>
      <c r="P140" s="7" t="s">
        <v>46</v>
      </c>
      <c r="Q140" s="1" t="s">
        <v>38</v>
      </c>
      <c r="R140" s="1" t="s">
        <v>308</v>
      </c>
    </row>
    <row r="141" spans="1:18" ht="15" hidden="1">
      <c r="A141" s="3">
        <v>137</v>
      </c>
      <c r="B141" s="1" t="s">
        <v>330</v>
      </c>
      <c r="C141" s="1" t="s">
        <v>305</v>
      </c>
      <c r="D141" s="1" t="s">
        <v>306</v>
      </c>
      <c r="E141" s="1">
        <v>1</v>
      </c>
      <c r="F141" s="1" t="s">
        <v>331</v>
      </c>
      <c r="G141" s="4">
        <v>4</v>
      </c>
      <c r="H141" s="5">
        <v>75</v>
      </c>
      <c r="I141" s="5">
        <v>73</v>
      </c>
      <c r="J141" s="5">
        <v>61</v>
      </c>
      <c r="K141" s="5">
        <v>69</v>
      </c>
      <c r="L141" s="5">
        <v>72</v>
      </c>
      <c r="M141" s="5">
        <v>77</v>
      </c>
      <c r="N141" s="6">
        <f>ROUND(H141*35%+I141*45%+VLOOKUP(G141,规则与说明!$A$6:$B$11,2,FALSE)*20%,1)</f>
        <v>73.099999999999994</v>
      </c>
      <c r="O141" s="6">
        <f>ROUND(H141*45%+I141*10%+VLOOKUP(G141,规则与说明!$A$6:$B$11,2,FALSE)*45%,1)</f>
        <v>72.599999999999994</v>
      </c>
      <c r="P141" s="7" t="s">
        <v>46</v>
      </c>
      <c r="Q141" s="1" t="s">
        <v>38</v>
      </c>
      <c r="R141" s="1" t="s">
        <v>308</v>
      </c>
    </row>
    <row r="142" spans="1:18" ht="15" hidden="1">
      <c r="A142" s="3">
        <v>138</v>
      </c>
      <c r="B142" s="1" t="s">
        <v>332</v>
      </c>
      <c r="C142" s="1" t="s">
        <v>305</v>
      </c>
      <c r="D142" s="1" t="s">
        <v>306</v>
      </c>
      <c r="E142" s="1">
        <v>1</v>
      </c>
      <c r="F142" s="1" t="s">
        <v>333</v>
      </c>
      <c r="G142" s="4">
        <v>4</v>
      </c>
      <c r="H142" s="5">
        <v>74</v>
      </c>
      <c r="I142" s="5">
        <v>76</v>
      </c>
      <c r="J142" s="5">
        <v>64</v>
      </c>
      <c r="K142" s="5">
        <v>72</v>
      </c>
      <c r="L142" s="5">
        <v>71</v>
      </c>
      <c r="M142" s="5">
        <v>76</v>
      </c>
      <c r="N142" s="6">
        <f>ROUND(H142*35%+I142*45%+VLOOKUP(G142,规则与说明!$A$6:$B$11,2,FALSE)*20%,1)</f>
        <v>74.099999999999994</v>
      </c>
      <c r="O142" s="6">
        <f>ROUND(H142*45%+I142*10%+VLOOKUP(G142,规则与说明!$A$6:$B$11,2,FALSE)*45%,1)</f>
        <v>72.400000000000006</v>
      </c>
      <c r="P142" s="7" t="s">
        <v>46</v>
      </c>
      <c r="Q142" s="1" t="s">
        <v>38</v>
      </c>
      <c r="R142" s="1" t="s">
        <v>308</v>
      </c>
    </row>
    <row r="143" spans="1:18" ht="15" hidden="1">
      <c r="A143" s="3">
        <v>139</v>
      </c>
      <c r="B143" s="1" t="s">
        <v>334</v>
      </c>
      <c r="C143" s="1" t="s">
        <v>305</v>
      </c>
      <c r="D143" s="1" t="s">
        <v>306</v>
      </c>
      <c r="E143" s="1">
        <v>1</v>
      </c>
      <c r="F143" s="1" t="s">
        <v>335</v>
      </c>
      <c r="G143" s="4">
        <v>4</v>
      </c>
      <c r="H143" s="5">
        <v>74</v>
      </c>
      <c r="I143" s="5">
        <v>74</v>
      </c>
      <c r="J143" s="5">
        <v>61</v>
      </c>
      <c r="K143" s="5">
        <v>67</v>
      </c>
      <c r="L143" s="5">
        <v>72</v>
      </c>
      <c r="M143" s="5">
        <v>79</v>
      </c>
      <c r="N143" s="6">
        <f>ROUND(H143*35%+I143*45%+VLOOKUP(G143,规则与说明!$A$6:$B$11,2,FALSE)*20%,1)</f>
        <v>73.2</v>
      </c>
      <c r="O143" s="6">
        <f>ROUND(H143*45%+I143*10%+VLOOKUP(G143,规则与说明!$A$6:$B$11,2,FALSE)*45%,1)</f>
        <v>72.2</v>
      </c>
      <c r="P143" s="7" t="s">
        <v>46</v>
      </c>
      <c r="Q143" s="1" t="s">
        <v>38</v>
      </c>
      <c r="R143" s="1" t="s">
        <v>308</v>
      </c>
    </row>
    <row r="144" spans="1:18" ht="15" hidden="1">
      <c r="A144" s="3">
        <v>140</v>
      </c>
      <c r="B144" s="1" t="s">
        <v>336</v>
      </c>
      <c r="C144" s="1" t="s">
        <v>305</v>
      </c>
      <c r="D144" s="1" t="s">
        <v>306</v>
      </c>
      <c r="E144" s="1">
        <v>1</v>
      </c>
      <c r="F144" s="1" t="s">
        <v>337</v>
      </c>
      <c r="G144" s="4">
        <v>4</v>
      </c>
      <c r="H144" s="5">
        <v>75</v>
      </c>
      <c r="I144" s="5">
        <v>77</v>
      </c>
      <c r="J144" s="5">
        <v>61</v>
      </c>
      <c r="K144" s="5">
        <v>73</v>
      </c>
      <c r="L144" s="5">
        <v>68</v>
      </c>
      <c r="M144" s="5">
        <v>76</v>
      </c>
      <c r="N144" s="6">
        <f>ROUND(H144*35%+I144*45%+VLOOKUP(G144,规则与说明!$A$6:$B$11,2,FALSE)*20%,1)</f>
        <v>74.900000000000006</v>
      </c>
      <c r="O144" s="6">
        <f>ROUND(H144*45%+I144*10%+VLOOKUP(G144,规则与说明!$A$6:$B$11,2,FALSE)*45%,1)</f>
        <v>73</v>
      </c>
      <c r="P144" s="7" t="s">
        <v>46</v>
      </c>
      <c r="Q144" s="1" t="s">
        <v>38</v>
      </c>
      <c r="R144" s="1" t="s">
        <v>308</v>
      </c>
    </row>
    <row r="145" spans="1:18" ht="15" hidden="1">
      <c r="A145" s="3">
        <v>141</v>
      </c>
      <c r="B145" s="1" t="s">
        <v>338</v>
      </c>
      <c r="C145" s="1" t="s">
        <v>305</v>
      </c>
      <c r="D145" s="1" t="s">
        <v>306</v>
      </c>
      <c r="E145" s="1">
        <v>1</v>
      </c>
      <c r="F145" s="1" t="s">
        <v>339</v>
      </c>
      <c r="G145" s="4">
        <v>4</v>
      </c>
      <c r="H145" s="5">
        <v>75</v>
      </c>
      <c r="I145" s="5">
        <v>72</v>
      </c>
      <c r="J145" s="5">
        <v>64</v>
      </c>
      <c r="K145" s="5">
        <v>73</v>
      </c>
      <c r="L145" s="5">
        <v>71</v>
      </c>
      <c r="M145" s="5">
        <v>79</v>
      </c>
      <c r="N145" s="6">
        <f>ROUND(H145*35%+I145*45%+VLOOKUP(G145,规则与说明!$A$6:$B$11,2,FALSE)*20%,1)</f>
        <v>72.7</v>
      </c>
      <c r="O145" s="6">
        <f>ROUND(H145*45%+I145*10%+VLOOKUP(G145,规则与说明!$A$6:$B$11,2,FALSE)*45%,1)</f>
        <v>72.5</v>
      </c>
      <c r="P145" s="7" t="s">
        <v>46</v>
      </c>
      <c r="Q145" s="1" t="s">
        <v>38</v>
      </c>
      <c r="R145" s="1" t="s">
        <v>308</v>
      </c>
    </row>
    <row r="146" spans="1:18" ht="15" hidden="1">
      <c r="A146" s="3">
        <v>142</v>
      </c>
      <c r="B146" s="1" t="s">
        <v>340</v>
      </c>
      <c r="C146" s="1" t="s">
        <v>305</v>
      </c>
      <c r="D146" s="1" t="s">
        <v>306</v>
      </c>
      <c r="E146" s="1">
        <v>1</v>
      </c>
      <c r="F146" s="1" t="s">
        <v>341</v>
      </c>
      <c r="G146" s="4">
        <v>4</v>
      </c>
      <c r="H146" s="5">
        <v>75</v>
      </c>
      <c r="I146" s="5">
        <v>69</v>
      </c>
      <c r="J146" s="5">
        <v>62</v>
      </c>
      <c r="K146" s="5">
        <v>67</v>
      </c>
      <c r="L146" s="5">
        <v>72</v>
      </c>
      <c r="M146" s="5">
        <v>76</v>
      </c>
      <c r="N146" s="6">
        <f>ROUND(H146*35%+I146*45%+VLOOKUP(G146,规则与说明!$A$6:$B$11,2,FALSE)*20%,1)</f>
        <v>71.3</v>
      </c>
      <c r="O146" s="6">
        <f>ROUND(H146*45%+I146*10%+VLOOKUP(G146,规则与说明!$A$6:$B$11,2,FALSE)*45%,1)</f>
        <v>72.2</v>
      </c>
      <c r="P146" s="7" t="s">
        <v>46</v>
      </c>
      <c r="Q146" s="1" t="s">
        <v>38</v>
      </c>
      <c r="R146" s="1" t="s">
        <v>308</v>
      </c>
    </row>
    <row r="147" spans="1:18" ht="15" hidden="1">
      <c r="A147" s="3">
        <v>143</v>
      </c>
      <c r="B147" s="1" t="s">
        <v>342</v>
      </c>
      <c r="C147" s="1" t="s">
        <v>305</v>
      </c>
      <c r="D147" s="1" t="s">
        <v>306</v>
      </c>
      <c r="E147" s="1">
        <v>1</v>
      </c>
      <c r="F147" s="1" t="s">
        <v>343</v>
      </c>
      <c r="G147" s="4">
        <v>4</v>
      </c>
      <c r="H147" s="5">
        <v>73</v>
      </c>
      <c r="I147" s="5">
        <v>70</v>
      </c>
      <c r="J147" s="5">
        <v>62</v>
      </c>
      <c r="K147" s="5">
        <v>72</v>
      </c>
      <c r="L147" s="5">
        <v>72</v>
      </c>
      <c r="M147" s="5">
        <v>77</v>
      </c>
      <c r="N147" s="6">
        <f>ROUND(H147*35%+I147*45%+VLOOKUP(G147,规则与说明!$A$6:$B$11,2,FALSE)*20%,1)</f>
        <v>71.099999999999994</v>
      </c>
      <c r="O147" s="6">
        <f>ROUND(H147*45%+I147*10%+VLOOKUP(G147,规则与说明!$A$6:$B$11,2,FALSE)*45%,1)</f>
        <v>71.400000000000006</v>
      </c>
      <c r="P147" s="7" t="s">
        <v>46</v>
      </c>
      <c r="Q147" s="1" t="s">
        <v>38</v>
      </c>
      <c r="R147" s="1" t="s">
        <v>308</v>
      </c>
    </row>
    <row r="148" spans="1:18" ht="15" hidden="1">
      <c r="A148" s="3">
        <v>144</v>
      </c>
      <c r="B148" s="1" t="s">
        <v>344</v>
      </c>
      <c r="C148" s="1" t="s">
        <v>305</v>
      </c>
      <c r="D148" s="1" t="s">
        <v>306</v>
      </c>
      <c r="E148" s="1">
        <v>1</v>
      </c>
      <c r="F148" s="1" t="s">
        <v>345</v>
      </c>
      <c r="G148" s="4">
        <v>4</v>
      </c>
      <c r="H148" s="5">
        <v>75</v>
      </c>
      <c r="I148" s="5">
        <v>77</v>
      </c>
      <c r="J148" s="5">
        <v>59</v>
      </c>
      <c r="K148" s="5">
        <v>68</v>
      </c>
      <c r="L148" s="5">
        <v>70</v>
      </c>
      <c r="M148" s="5">
        <v>80</v>
      </c>
      <c r="N148" s="6">
        <f>ROUND(H148*35%+I148*45%+VLOOKUP(G148,规则与说明!$A$6:$B$11,2,FALSE)*20%,1)</f>
        <v>74.900000000000006</v>
      </c>
      <c r="O148" s="6">
        <f>ROUND(H148*45%+I148*10%+VLOOKUP(G148,规则与说明!$A$6:$B$11,2,FALSE)*45%,1)</f>
        <v>73</v>
      </c>
      <c r="P148" s="7" t="s">
        <v>46</v>
      </c>
      <c r="Q148" s="1" t="s">
        <v>38</v>
      </c>
      <c r="R148" s="1" t="s">
        <v>308</v>
      </c>
    </row>
    <row r="149" spans="1:18" ht="15" hidden="1">
      <c r="A149" s="3">
        <v>145</v>
      </c>
      <c r="B149" s="1" t="s">
        <v>346</v>
      </c>
      <c r="C149" s="1" t="s">
        <v>305</v>
      </c>
      <c r="D149" s="1" t="s">
        <v>347</v>
      </c>
      <c r="E149" s="1">
        <v>2</v>
      </c>
      <c r="F149" s="1" t="s">
        <v>348</v>
      </c>
      <c r="G149" s="4">
        <v>4</v>
      </c>
      <c r="H149" s="5">
        <v>72</v>
      </c>
      <c r="I149" s="5">
        <v>70</v>
      </c>
      <c r="J149" s="5">
        <v>58</v>
      </c>
      <c r="K149" s="5">
        <v>63</v>
      </c>
      <c r="L149" s="5">
        <v>71</v>
      </c>
      <c r="M149" s="5">
        <v>76</v>
      </c>
      <c r="N149" s="6">
        <f>ROUND(H149*35%+I149*45%+VLOOKUP(G149,规则与说明!$A$6:$B$11,2,FALSE)*20%,1)</f>
        <v>70.7</v>
      </c>
      <c r="O149" s="6">
        <f>ROUND(H149*45%+I149*10%+VLOOKUP(G149,规则与说明!$A$6:$B$11,2,FALSE)*45%,1)</f>
        <v>70.900000000000006</v>
      </c>
      <c r="P149" s="7" t="s">
        <v>46</v>
      </c>
      <c r="Q149" s="1" t="s">
        <v>38</v>
      </c>
      <c r="R149" s="1" t="s">
        <v>349</v>
      </c>
    </row>
    <row r="150" spans="1:18" ht="15" hidden="1">
      <c r="A150" s="3">
        <v>146</v>
      </c>
      <c r="B150" s="1" t="s">
        <v>350</v>
      </c>
      <c r="C150" s="1" t="s">
        <v>305</v>
      </c>
      <c r="D150" s="1" t="s">
        <v>347</v>
      </c>
      <c r="E150" s="1">
        <v>2</v>
      </c>
      <c r="F150" s="1" t="s">
        <v>351</v>
      </c>
      <c r="G150" s="4">
        <v>4</v>
      </c>
      <c r="H150" s="5">
        <v>72</v>
      </c>
      <c r="I150" s="5">
        <v>69</v>
      </c>
      <c r="J150" s="5">
        <v>58</v>
      </c>
      <c r="K150" s="5">
        <v>63</v>
      </c>
      <c r="L150" s="5">
        <v>69</v>
      </c>
      <c r="M150" s="5">
        <v>80</v>
      </c>
      <c r="N150" s="6">
        <f>ROUND(H150*35%+I150*45%+VLOOKUP(G150,规则与说明!$A$6:$B$11,2,FALSE)*20%,1)</f>
        <v>70.3</v>
      </c>
      <c r="O150" s="6">
        <f>ROUND(H150*45%+I150*10%+VLOOKUP(G150,规则与说明!$A$6:$B$11,2,FALSE)*45%,1)</f>
        <v>70.8</v>
      </c>
      <c r="P150" s="7" t="s">
        <v>46</v>
      </c>
      <c r="Q150" s="1" t="s">
        <v>38</v>
      </c>
      <c r="R150" s="1" t="s">
        <v>349</v>
      </c>
    </row>
    <row r="151" spans="1:18" ht="15" hidden="1">
      <c r="A151" s="3">
        <v>147</v>
      </c>
      <c r="B151" s="1" t="s">
        <v>352</v>
      </c>
      <c r="C151" s="1" t="s">
        <v>305</v>
      </c>
      <c r="D151" s="1" t="s">
        <v>347</v>
      </c>
      <c r="E151" s="1">
        <v>2</v>
      </c>
      <c r="F151" s="1" t="s">
        <v>353</v>
      </c>
      <c r="G151" s="4">
        <v>4</v>
      </c>
      <c r="H151" s="5">
        <v>76</v>
      </c>
      <c r="I151" s="5">
        <v>71</v>
      </c>
      <c r="J151" s="5">
        <v>61</v>
      </c>
      <c r="K151" s="5">
        <v>63</v>
      </c>
      <c r="L151" s="5">
        <v>67</v>
      </c>
      <c r="M151" s="5">
        <v>74</v>
      </c>
      <c r="N151" s="6">
        <f>ROUND(H151*35%+I151*45%+VLOOKUP(G151,规则与说明!$A$6:$B$11,2,FALSE)*20%,1)</f>
        <v>72.599999999999994</v>
      </c>
      <c r="O151" s="6">
        <f>ROUND(H151*45%+I151*10%+VLOOKUP(G151,规则与说明!$A$6:$B$11,2,FALSE)*45%,1)</f>
        <v>72.8</v>
      </c>
      <c r="P151" s="7" t="s">
        <v>46</v>
      </c>
      <c r="Q151" s="1" t="s">
        <v>38</v>
      </c>
      <c r="R151" s="1" t="s">
        <v>349</v>
      </c>
    </row>
    <row r="152" spans="1:18" ht="15" hidden="1">
      <c r="A152" s="3">
        <v>148</v>
      </c>
      <c r="B152" s="1" t="s">
        <v>354</v>
      </c>
      <c r="C152" s="1" t="s">
        <v>305</v>
      </c>
      <c r="D152" s="1" t="s">
        <v>347</v>
      </c>
      <c r="E152" s="1">
        <v>2</v>
      </c>
      <c r="F152" s="1" t="s">
        <v>355</v>
      </c>
      <c r="G152" s="4">
        <v>4</v>
      </c>
      <c r="H152" s="5">
        <v>73</v>
      </c>
      <c r="I152" s="5">
        <v>73</v>
      </c>
      <c r="J152" s="5">
        <v>55</v>
      </c>
      <c r="K152" s="5">
        <v>68</v>
      </c>
      <c r="L152" s="5">
        <v>70</v>
      </c>
      <c r="M152" s="5">
        <v>74</v>
      </c>
      <c r="N152" s="6">
        <f>ROUND(H152*35%+I152*45%+VLOOKUP(G152,规则与说明!$A$6:$B$11,2,FALSE)*20%,1)</f>
        <v>72.400000000000006</v>
      </c>
      <c r="O152" s="6">
        <f>ROUND(H152*45%+I152*10%+VLOOKUP(G152,规则与说明!$A$6:$B$11,2,FALSE)*45%,1)</f>
        <v>71.7</v>
      </c>
      <c r="P152" s="7" t="s">
        <v>46</v>
      </c>
      <c r="Q152" s="1" t="s">
        <v>38</v>
      </c>
      <c r="R152" s="1" t="s">
        <v>349</v>
      </c>
    </row>
    <row r="153" spans="1:18" ht="15" hidden="1">
      <c r="A153" s="3">
        <v>149</v>
      </c>
      <c r="B153" s="1" t="s">
        <v>356</v>
      </c>
      <c r="C153" s="1" t="s">
        <v>305</v>
      </c>
      <c r="D153" s="1" t="s">
        <v>347</v>
      </c>
      <c r="E153" s="1">
        <v>2</v>
      </c>
      <c r="F153" s="1" t="s">
        <v>357</v>
      </c>
      <c r="G153" s="4">
        <v>5</v>
      </c>
      <c r="H153" s="5">
        <v>64</v>
      </c>
      <c r="I153" s="5">
        <v>67</v>
      </c>
      <c r="J153" s="5">
        <v>47</v>
      </c>
      <c r="K153" s="5">
        <v>51</v>
      </c>
      <c r="L153" s="5">
        <v>61</v>
      </c>
      <c r="M153" s="5">
        <v>82</v>
      </c>
      <c r="N153" s="6">
        <f>ROUND(H153*35%+I153*45%+VLOOKUP(G153,规则与说明!$A$6:$B$11,2,FALSE)*20%,1)</f>
        <v>64.599999999999994</v>
      </c>
      <c r="O153" s="6">
        <f>ROUND(H153*45%+I153*10%+VLOOKUP(G153,规则与说明!$A$6:$B$11,2,FALSE)*45%,1)</f>
        <v>62.5</v>
      </c>
      <c r="P153" s="7" t="s">
        <v>91</v>
      </c>
      <c r="Q153" s="1" t="s">
        <v>38</v>
      </c>
      <c r="R153" s="1" t="s">
        <v>349</v>
      </c>
    </row>
    <row r="154" spans="1:18" ht="15" hidden="1">
      <c r="A154" s="3">
        <v>150</v>
      </c>
      <c r="B154" s="1" t="s">
        <v>358</v>
      </c>
      <c r="C154" s="1" t="s">
        <v>305</v>
      </c>
      <c r="D154" s="1" t="s">
        <v>347</v>
      </c>
      <c r="E154" s="1">
        <v>2</v>
      </c>
      <c r="F154" s="1" t="s">
        <v>359</v>
      </c>
      <c r="G154" s="4">
        <v>5</v>
      </c>
      <c r="H154" s="5">
        <v>63</v>
      </c>
      <c r="I154" s="5">
        <v>65</v>
      </c>
      <c r="J154" s="5">
        <v>48</v>
      </c>
      <c r="K154" s="5">
        <v>54</v>
      </c>
      <c r="L154" s="5">
        <v>61</v>
      </c>
      <c r="M154" s="5">
        <v>84</v>
      </c>
      <c r="N154" s="6">
        <f>ROUND(H154*35%+I154*45%+VLOOKUP(G154,规则与说明!$A$6:$B$11,2,FALSE)*20%,1)</f>
        <v>63.3</v>
      </c>
      <c r="O154" s="6">
        <f>ROUND(H154*45%+I154*10%+VLOOKUP(G154,规则与说明!$A$6:$B$11,2,FALSE)*45%,1)</f>
        <v>61.9</v>
      </c>
      <c r="P154" s="7" t="s">
        <v>91</v>
      </c>
      <c r="Q154" s="1" t="s">
        <v>38</v>
      </c>
      <c r="R154" s="1" t="s">
        <v>349</v>
      </c>
    </row>
    <row r="155" spans="1:18" ht="15" hidden="1">
      <c r="A155" s="3">
        <v>151</v>
      </c>
      <c r="B155" s="1" t="s">
        <v>360</v>
      </c>
      <c r="C155" s="1" t="s">
        <v>305</v>
      </c>
      <c r="D155" s="1" t="s">
        <v>347</v>
      </c>
      <c r="E155" s="1">
        <v>2</v>
      </c>
      <c r="F155" s="1" t="s">
        <v>361</v>
      </c>
      <c r="G155" s="4">
        <v>5</v>
      </c>
      <c r="H155" s="5">
        <v>66</v>
      </c>
      <c r="I155" s="5">
        <v>68</v>
      </c>
      <c r="J155" s="5">
        <v>51</v>
      </c>
      <c r="K155" s="5">
        <v>51</v>
      </c>
      <c r="L155" s="5">
        <v>64</v>
      </c>
      <c r="M155" s="5">
        <v>79</v>
      </c>
      <c r="N155" s="6">
        <f>ROUND(H155*35%+I155*45%+VLOOKUP(G155,规则与说明!$A$6:$B$11,2,FALSE)*20%,1)</f>
        <v>65.7</v>
      </c>
      <c r="O155" s="6">
        <f>ROUND(H155*45%+I155*10%+VLOOKUP(G155,规则与说明!$A$6:$B$11,2,FALSE)*45%,1)</f>
        <v>63.5</v>
      </c>
      <c r="P155" s="7" t="s">
        <v>46</v>
      </c>
      <c r="Q155" s="1" t="s">
        <v>38</v>
      </c>
      <c r="R155" s="1" t="s">
        <v>349</v>
      </c>
    </row>
    <row r="156" spans="1:18" ht="15" hidden="1">
      <c r="A156" s="3">
        <v>152</v>
      </c>
      <c r="B156" s="1" t="s">
        <v>362</v>
      </c>
      <c r="C156" s="1" t="s">
        <v>305</v>
      </c>
      <c r="D156" s="1" t="s">
        <v>347</v>
      </c>
      <c r="E156" s="1">
        <v>2</v>
      </c>
      <c r="F156" s="1" t="s">
        <v>363</v>
      </c>
      <c r="G156" s="4">
        <v>5</v>
      </c>
      <c r="H156" s="5">
        <v>64</v>
      </c>
      <c r="I156" s="5">
        <v>64</v>
      </c>
      <c r="J156" s="5">
        <v>51</v>
      </c>
      <c r="K156" s="5">
        <v>51</v>
      </c>
      <c r="L156" s="5">
        <v>62</v>
      </c>
      <c r="M156" s="5">
        <v>81</v>
      </c>
      <c r="N156" s="6">
        <f>ROUND(H156*35%+I156*45%+VLOOKUP(G156,规则与说明!$A$6:$B$11,2,FALSE)*20%,1)</f>
        <v>63.2</v>
      </c>
      <c r="O156" s="6">
        <f>ROUND(H156*45%+I156*10%+VLOOKUP(G156,规则与说明!$A$6:$B$11,2,FALSE)*45%,1)</f>
        <v>62.2</v>
      </c>
      <c r="P156" s="7" t="s">
        <v>91</v>
      </c>
      <c r="Q156" s="1" t="s">
        <v>38</v>
      </c>
      <c r="R156" s="1" t="s">
        <v>349</v>
      </c>
    </row>
    <row r="157" spans="1:18" ht="15" hidden="1">
      <c r="A157" s="3">
        <v>153</v>
      </c>
      <c r="B157" s="1" t="s">
        <v>364</v>
      </c>
      <c r="C157" s="1" t="s">
        <v>305</v>
      </c>
      <c r="D157" s="1" t="s">
        <v>347</v>
      </c>
      <c r="E157" s="1">
        <v>2</v>
      </c>
      <c r="F157" s="1" t="s">
        <v>365</v>
      </c>
      <c r="G157" s="4">
        <v>5</v>
      </c>
      <c r="H157" s="5">
        <v>66</v>
      </c>
      <c r="I157" s="5">
        <v>66</v>
      </c>
      <c r="J157" s="5">
        <v>45</v>
      </c>
      <c r="K157" s="5">
        <v>56</v>
      </c>
      <c r="L157" s="5">
        <v>65</v>
      </c>
      <c r="M157" s="5">
        <v>83</v>
      </c>
      <c r="N157" s="6">
        <f>ROUND(H157*35%+I157*45%+VLOOKUP(G157,规则与说明!$A$6:$B$11,2,FALSE)*20%,1)</f>
        <v>64.8</v>
      </c>
      <c r="O157" s="6">
        <f>ROUND(H157*45%+I157*10%+VLOOKUP(G157,规则与说明!$A$6:$B$11,2,FALSE)*45%,1)</f>
        <v>63.3</v>
      </c>
      <c r="P157" s="7" t="s">
        <v>46</v>
      </c>
      <c r="Q157" s="1" t="s">
        <v>38</v>
      </c>
      <c r="R157" s="1" t="s">
        <v>349</v>
      </c>
    </row>
    <row r="158" spans="1:18" ht="15" hidden="1">
      <c r="A158" s="3">
        <v>154</v>
      </c>
      <c r="B158" s="1" t="s">
        <v>366</v>
      </c>
      <c r="C158" s="1" t="s">
        <v>305</v>
      </c>
      <c r="D158" s="1" t="s">
        <v>347</v>
      </c>
      <c r="E158" s="1">
        <v>2</v>
      </c>
      <c r="F158" s="1" t="s">
        <v>367</v>
      </c>
      <c r="G158" s="4">
        <v>5</v>
      </c>
      <c r="H158" s="5">
        <v>65</v>
      </c>
      <c r="I158" s="5">
        <v>68</v>
      </c>
      <c r="J158" s="5">
        <v>50</v>
      </c>
      <c r="K158" s="5">
        <v>54</v>
      </c>
      <c r="L158" s="5">
        <v>63</v>
      </c>
      <c r="M158" s="5">
        <v>83</v>
      </c>
      <c r="N158" s="6">
        <f>ROUND(H158*35%+I158*45%+VLOOKUP(G158,规则与说明!$A$6:$B$11,2,FALSE)*20%,1)</f>
        <v>65.400000000000006</v>
      </c>
      <c r="O158" s="6">
        <f>ROUND(H158*45%+I158*10%+VLOOKUP(G158,规则与说明!$A$6:$B$11,2,FALSE)*45%,1)</f>
        <v>63.1</v>
      </c>
      <c r="P158" s="7" t="s">
        <v>46</v>
      </c>
      <c r="Q158" s="1" t="s">
        <v>38</v>
      </c>
      <c r="R158" s="1" t="s">
        <v>349</v>
      </c>
    </row>
    <row r="159" spans="1:18" ht="15" hidden="1">
      <c r="A159" s="3">
        <v>155</v>
      </c>
      <c r="B159" s="1" t="s">
        <v>368</v>
      </c>
      <c r="C159" s="1" t="s">
        <v>305</v>
      </c>
      <c r="D159" s="1" t="s">
        <v>347</v>
      </c>
      <c r="E159" s="1">
        <v>2</v>
      </c>
      <c r="F159" s="1" t="s">
        <v>369</v>
      </c>
      <c r="G159" s="4">
        <v>5</v>
      </c>
      <c r="H159" s="5">
        <v>62</v>
      </c>
      <c r="I159" s="5">
        <v>68</v>
      </c>
      <c r="J159" s="5">
        <v>46</v>
      </c>
      <c r="K159" s="5">
        <v>52</v>
      </c>
      <c r="L159" s="5">
        <v>64</v>
      </c>
      <c r="M159" s="5">
        <v>80</v>
      </c>
      <c r="N159" s="6">
        <f>ROUND(H159*35%+I159*45%+VLOOKUP(G159,规则与说明!$A$6:$B$11,2,FALSE)*20%,1)</f>
        <v>64.3</v>
      </c>
      <c r="O159" s="6">
        <f>ROUND(H159*45%+I159*10%+VLOOKUP(G159,规则与说明!$A$6:$B$11,2,FALSE)*45%,1)</f>
        <v>61.7</v>
      </c>
      <c r="P159" s="7" t="s">
        <v>46</v>
      </c>
      <c r="Q159" s="1" t="s">
        <v>38</v>
      </c>
      <c r="R159" s="1" t="s">
        <v>349</v>
      </c>
    </row>
    <row r="160" spans="1:18" ht="15" hidden="1">
      <c r="A160" s="3">
        <v>156</v>
      </c>
      <c r="B160" s="1" t="s">
        <v>370</v>
      </c>
      <c r="C160" s="1" t="s">
        <v>305</v>
      </c>
      <c r="D160" s="1" t="s">
        <v>347</v>
      </c>
      <c r="E160" s="1">
        <v>2</v>
      </c>
      <c r="F160" s="1" t="s">
        <v>371</v>
      </c>
      <c r="G160" s="4">
        <v>5</v>
      </c>
      <c r="H160" s="5">
        <v>64</v>
      </c>
      <c r="I160" s="5">
        <v>67</v>
      </c>
      <c r="J160" s="5">
        <v>48</v>
      </c>
      <c r="K160" s="5">
        <v>56</v>
      </c>
      <c r="L160" s="5">
        <v>63</v>
      </c>
      <c r="M160" s="5">
        <v>86</v>
      </c>
      <c r="N160" s="6">
        <f>ROUND(H160*35%+I160*45%+VLOOKUP(G160,规则与说明!$A$6:$B$11,2,FALSE)*20%,1)</f>
        <v>64.599999999999994</v>
      </c>
      <c r="O160" s="6">
        <f>ROUND(H160*45%+I160*10%+VLOOKUP(G160,规则与说明!$A$6:$B$11,2,FALSE)*45%,1)</f>
        <v>62.5</v>
      </c>
      <c r="P160" s="7" t="s">
        <v>46</v>
      </c>
      <c r="Q160" s="1" t="s">
        <v>38</v>
      </c>
      <c r="R160" s="1" t="s">
        <v>349</v>
      </c>
    </row>
    <row r="161" spans="1:18" ht="15" hidden="1">
      <c r="A161" s="3">
        <v>157</v>
      </c>
      <c r="B161" s="1" t="s">
        <v>372</v>
      </c>
      <c r="C161" s="1" t="s">
        <v>305</v>
      </c>
      <c r="D161" s="1" t="s">
        <v>347</v>
      </c>
      <c r="E161" s="1">
        <v>2</v>
      </c>
      <c r="F161" s="1" t="s">
        <v>373</v>
      </c>
      <c r="G161" s="4">
        <v>5</v>
      </c>
      <c r="H161" s="5">
        <v>62</v>
      </c>
      <c r="I161" s="5">
        <v>65</v>
      </c>
      <c r="J161" s="5">
        <v>51</v>
      </c>
      <c r="K161" s="5">
        <v>51</v>
      </c>
      <c r="L161" s="5">
        <v>64</v>
      </c>
      <c r="M161" s="5">
        <v>78</v>
      </c>
      <c r="N161" s="6">
        <f>ROUND(H161*35%+I161*45%+VLOOKUP(G161,规则与说明!$A$6:$B$11,2,FALSE)*20%,1)</f>
        <v>63</v>
      </c>
      <c r="O161" s="6">
        <f>ROUND(H161*45%+I161*10%+VLOOKUP(G161,规则与说明!$A$6:$B$11,2,FALSE)*45%,1)</f>
        <v>61.4</v>
      </c>
      <c r="P161" s="7" t="s">
        <v>46</v>
      </c>
      <c r="Q161" s="1" t="s">
        <v>38</v>
      </c>
      <c r="R161" s="1" t="s">
        <v>349</v>
      </c>
    </row>
    <row r="162" spans="1:18" ht="15" hidden="1">
      <c r="A162" s="3">
        <v>158</v>
      </c>
      <c r="B162" s="1" t="s">
        <v>374</v>
      </c>
      <c r="C162" s="1" t="s">
        <v>305</v>
      </c>
      <c r="D162" s="1" t="s">
        <v>347</v>
      </c>
      <c r="E162" s="1">
        <v>2</v>
      </c>
      <c r="F162" s="1" t="s">
        <v>375</v>
      </c>
      <c r="G162" s="4">
        <v>5</v>
      </c>
      <c r="H162" s="5">
        <v>66</v>
      </c>
      <c r="I162" s="5">
        <v>66</v>
      </c>
      <c r="J162" s="5">
        <v>46</v>
      </c>
      <c r="K162" s="5">
        <v>52</v>
      </c>
      <c r="L162" s="5">
        <v>65</v>
      </c>
      <c r="M162" s="5">
        <v>84</v>
      </c>
      <c r="N162" s="6">
        <f>ROUND(H162*35%+I162*45%+VLOOKUP(G162,规则与说明!$A$6:$B$11,2,FALSE)*20%,1)</f>
        <v>64.8</v>
      </c>
      <c r="O162" s="6">
        <f>ROUND(H162*45%+I162*10%+VLOOKUP(G162,规则与说明!$A$6:$B$11,2,FALSE)*45%,1)</f>
        <v>63.3</v>
      </c>
      <c r="P162" s="7" t="s">
        <v>46</v>
      </c>
      <c r="Q162" s="1" t="s">
        <v>38</v>
      </c>
      <c r="R162" s="1" t="s">
        <v>349</v>
      </c>
    </row>
    <row r="163" spans="1:18" ht="15" hidden="1">
      <c r="A163" s="3">
        <v>159</v>
      </c>
      <c r="B163" s="1" t="s">
        <v>376</v>
      </c>
      <c r="C163" s="1" t="s">
        <v>305</v>
      </c>
      <c r="D163" s="1" t="s">
        <v>347</v>
      </c>
      <c r="E163" s="1">
        <v>2</v>
      </c>
      <c r="F163" s="1" t="s">
        <v>377</v>
      </c>
      <c r="G163" s="4">
        <v>5</v>
      </c>
      <c r="H163" s="5">
        <v>63</v>
      </c>
      <c r="I163" s="5">
        <v>64</v>
      </c>
      <c r="J163" s="5">
        <v>45</v>
      </c>
      <c r="K163" s="5">
        <v>55</v>
      </c>
      <c r="L163" s="5">
        <v>64</v>
      </c>
      <c r="M163" s="5">
        <v>83</v>
      </c>
      <c r="N163" s="6">
        <f>ROUND(H163*35%+I163*45%+VLOOKUP(G163,规则与说明!$A$6:$B$11,2,FALSE)*20%,1)</f>
        <v>62.9</v>
      </c>
      <c r="O163" s="6">
        <f>ROUND(H163*45%+I163*10%+VLOOKUP(G163,规则与说明!$A$6:$B$11,2,FALSE)*45%,1)</f>
        <v>61.8</v>
      </c>
      <c r="P163" s="7" t="s">
        <v>46</v>
      </c>
      <c r="Q163" s="1" t="s">
        <v>38</v>
      </c>
      <c r="R163" s="1" t="s">
        <v>349</v>
      </c>
    </row>
    <row r="164" spans="1:18" ht="15" hidden="1">
      <c r="A164" s="3">
        <v>160</v>
      </c>
      <c r="B164" s="1" t="s">
        <v>378</v>
      </c>
      <c r="C164" s="1" t="s">
        <v>305</v>
      </c>
      <c r="D164" s="1" t="s">
        <v>347</v>
      </c>
      <c r="E164" s="1">
        <v>2</v>
      </c>
      <c r="F164" s="1" t="s">
        <v>379</v>
      </c>
      <c r="G164" s="4">
        <v>5</v>
      </c>
      <c r="H164" s="5">
        <v>65</v>
      </c>
      <c r="I164" s="5">
        <v>65</v>
      </c>
      <c r="J164" s="5">
        <v>45</v>
      </c>
      <c r="K164" s="5">
        <v>52</v>
      </c>
      <c r="L164" s="5">
        <v>64</v>
      </c>
      <c r="M164" s="5">
        <v>83</v>
      </c>
      <c r="N164" s="6">
        <f>ROUND(H164*35%+I164*45%+VLOOKUP(G164,规则与说明!$A$6:$B$11,2,FALSE)*20%,1)</f>
        <v>64</v>
      </c>
      <c r="O164" s="6">
        <f>ROUND(H164*45%+I164*10%+VLOOKUP(G164,规则与说明!$A$6:$B$11,2,FALSE)*45%,1)</f>
        <v>62.8</v>
      </c>
      <c r="P164" s="7" t="s">
        <v>46</v>
      </c>
      <c r="Q164" s="1" t="s">
        <v>38</v>
      </c>
      <c r="R164" s="1" t="s">
        <v>349</v>
      </c>
    </row>
    <row r="165" spans="1:18" ht="15" hidden="1">
      <c r="A165" s="3">
        <v>161</v>
      </c>
      <c r="B165" s="1" t="s">
        <v>380</v>
      </c>
      <c r="C165" s="1" t="s">
        <v>305</v>
      </c>
      <c r="D165" s="1" t="s">
        <v>347</v>
      </c>
      <c r="E165" s="1">
        <v>2</v>
      </c>
      <c r="F165" s="1" t="s">
        <v>381</v>
      </c>
      <c r="G165" s="4">
        <v>6</v>
      </c>
      <c r="H165" s="5">
        <v>51</v>
      </c>
      <c r="I165" s="5">
        <v>49</v>
      </c>
      <c r="J165" s="5">
        <v>36</v>
      </c>
      <c r="K165" s="5">
        <v>40</v>
      </c>
      <c r="L165" s="5">
        <v>58</v>
      </c>
      <c r="M165" s="5">
        <v>87</v>
      </c>
      <c r="N165" s="6">
        <f>ROUND(H165*35%+I165*45%+VLOOKUP(G165,规则与说明!$A$6:$B$11,2,FALSE)*20%,1)</f>
        <v>49.9</v>
      </c>
      <c r="O165" s="6">
        <f>ROUND(H165*45%+I165*10%+VLOOKUP(G165,规则与说明!$A$6:$B$11,2,FALSE)*45%,1)</f>
        <v>50.4</v>
      </c>
      <c r="P165" s="7" t="s">
        <v>91</v>
      </c>
      <c r="Q165" s="1" t="s">
        <v>38</v>
      </c>
      <c r="R165" s="1" t="s">
        <v>349</v>
      </c>
    </row>
    <row r="166" spans="1:18" ht="15" hidden="1">
      <c r="A166" s="3">
        <v>162</v>
      </c>
      <c r="B166" s="1" t="s">
        <v>382</v>
      </c>
      <c r="C166" s="1" t="s">
        <v>305</v>
      </c>
      <c r="D166" s="1" t="s">
        <v>347</v>
      </c>
      <c r="E166" s="1">
        <v>2</v>
      </c>
      <c r="F166" s="1" t="s">
        <v>383</v>
      </c>
      <c r="G166" s="4">
        <v>6</v>
      </c>
      <c r="H166" s="5">
        <v>55</v>
      </c>
      <c r="I166" s="5">
        <v>51</v>
      </c>
      <c r="J166" s="5">
        <v>36</v>
      </c>
      <c r="K166" s="5">
        <v>38</v>
      </c>
      <c r="L166" s="5">
        <v>56</v>
      </c>
      <c r="M166" s="5">
        <v>89</v>
      </c>
      <c r="N166" s="6">
        <f>ROUND(H166*35%+I166*45%+VLOOKUP(G166,规则与说明!$A$6:$B$11,2,FALSE)*20%,1)</f>
        <v>52.2</v>
      </c>
      <c r="O166" s="6">
        <f>ROUND(H166*45%+I166*10%+VLOOKUP(G166,规则与说明!$A$6:$B$11,2,FALSE)*45%,1)</f>
        <v>52.4</v>
      </c>
      <c r="P166" s="7" t="s">
        <v>206</v>
      </c>
      <c r="Q166" s="1" t="s">
        <v>38</v>
      </c>
      <c r="R166" s="1" t="s">
        <v>349</v>
      </c>
    </row>
    <row r="167" spans="1:18" ht="30" hidden="1">
      <c r="A167" s="3">
        <v>163</v>
      </c>
      <c r="B167" s="1" t="s">
        <v>384</v>
      </c>
      <c r="C167" s="1" t="s">
        <v>385</v>
      </c>
      <c r="D167" s="1" t="s">
        <v>386</v>
      </c>
      <c r="E167" s="1">
        <v>1</v>
      </c>
      <c r="F167" s="1" t="s">
        <v>387</v>
      </c>
      <c r="G167" s="4">
        <v>1</v>
      </c>
      <c r="H167" s="5">
        <v>94</v>
      </c>
      <c r="I167" s="5">
        <v>90</v>
      </c>
      <c r="J167" s="5">
        <v>93</v>
      </c>
      <c r="K167" s="5">
        <v>98</v>
      </c>
      <c r="L167" s="5">
        <v>86</v>
      </c>
      <c r="M167" s="5">
        <v>65</v>
      </c>
      <c r="N167" s="6">
        <f>ROUND(H167*35%+I167*45%+VLOOKUP(G167,规则与说明!$A$6:$B$11,2,FALSE)*20%,1)</f>
        <v>92.2</v>
      </c>
      <c r="O167" s="6">
        <f>ROUND(H167*45%+I167*10%+VLOOKUP(G167,规则与说明!$A$6:$B$11,2,FALSE)*45%,1)</f>
        <v>93.6</v>
      </c>
      <c r="P167" s="7" t="s">
        <v>24</v>
      </c>
      <c r="Q167" s="1" t="s">
        <v>38</v>
      </c>
      <c r="R167" s="1" t="s">
        <v>388</v>
      </c>
    </row>
    <row r="168" spans="1:18" ht="15" hidden="1">
      <c r="A168" s="3">
        <v>164</v>
      </c>
      <c r="B168" s="1" t="s">
        <v>389</v>
      </c>
      <c r="C168" s="1" t="s">
        <v>385</v>
      </c>
      <c r="D168" s="1" t="s">
        <v>386</v>
      </c>
      <c r="E168" s="1">
        <v>1</v>
      </c>
      <c r="F168" s="1" t="s">
        <v>390</v>
      </c>
      <c r="G168" s="4">
        <v>2</v>
      </c>
      <c r="H168" s="5">
        <v>87</v>
      </c>
      <c r="I168" s="5">
        <v>94</v>
      </c>
      <c r="J168" s="5">
        <v>81</v>
      </c>
      <c r="K168" s="5">
        <v>84</v>
      </c>
      <c r="L168" s="5">
        <v>80</v>
      </c>
      <c r="M168" s="5">
        <v>92</v>
      </c>
      <c r="N168" s="6">
        <f>ROUND(H168*35%+I168*45%+VLOOKUP(G168,规则与说明!$A$6:$B$11,2,FALSE)*20%,1)</f>
        <v>90.2</v>
      </c>
      <c r="O168" s="6">
        <f>ROUND(H168*45%+I168*10%+VLOOKUP(G168,规则与说明!$A$6:$B$11,2,FALSE)*45%,1)</f>
        <v>87.7</v>
      </c>
      <c r="P168" s="7" t="s">
        <v>132</v>
      </c>
      <c r="Q168" s="1" t="s">
        <v>25</v>
      </c>
      <c r="R168" s="1" t="s">
        <v>388</v>
      </c>
    </row>
    <row r="169" spans="1:18" ht="15" hidden="1">
      <c r="A169" s="3">
        <v>165</v>
      </c>
      <c r="B169" s="1" t="s">
        <v>391</v>
      </c>
      <c r="C169" s="1" t="s">
        <v>385</v>
      </c>
      <c r="D169" s="1" t="s">
        <v>386</v>
      </c>
      <c r="E169" s="1">
        <v>1</v>
      </c>
      <c r="F169" s="1" t="s">
        <v>392</v>
      </c>
      <c r="G169" s="4">
        <v>2</v>
      </c>
      <c r="H169" s="5">
        <v>90</v>
      </c>
      <c r="I169" s="5">
        <v>87</v>
      </c>
      <c r="J169" s="5">
        <v>85</v>
      </c>
      <c r="K169" s="5">
        <v>84</v>
      </c>
      <c r="L169" s="5">
        <v>78</v>
      </c>
      <c r="M169" s="5">
        <v>77</v>
      </c>
      <c r="N169" s="6">
        <f>ROUND(H169*35%+I169*45%+VLOOKUP(G169,规则与说明!$A$6:$B$11,2,FALSE)*20%,1)</f>
        <v>88.1</v>
      </c>
      <c r="O169" s="6">
        <f>ROUND(H169*45%+I169*10%+VLOOKUP(G169,规则与说明!$A$6:$B$11,2,FALSE)*45%,1)</f>
        <v>88.4</v>
      </c>
      <c r="P169" s="7" t="s">
        <v>393</v>
      </c>
      <c r="Q169" s="1" t="s">
        <v>38</v>
      </c>
      <c r="R169" s="1" t="s">
        <v>388</v>
      </c>
    </row>
    <row r="170" spans="1:18" ht="30" hidden="1">
      <c r="A170" s="3">
        <v>166</v>
      </c>
      <c r="B170" s="1" t="s">
        <v>394</v>
      </c>
      <c r="C170" s="1" t="s">
        <v>385</v>
      </c>
      <c r="D170" s="1" t="s">
        <v>386</v>
      </c>
      <c r="E170" s="1">
        <v>1</v>
      </c>
      <c r="F170" s="1" t="s">
        <v>395</v>
      </c>
      <c r="G170" s="4">
        <v>2</v>
      </c>
      <c r="H170" s="5">
        <v>90</v>
      </c>
      <c r="I170" s="5">
        <v>95</v>
      </c>
      <c r="J170" s="5">
        <v>79</v>
      </c>
      <c r="K170" s="5">
        <v>89</v>
      </c>
      <c r="L170" s="5">
        <v>79</v>
      </c>
      <c r="M170" s="5">
        <v>90</v>
      </c>
      <c r="N170" s="6">
        <f>ROUND(H170*35%+I170*45%+VLOOKUP(G170,规则与说明!$A$6:$B$11,2,FALSE)*20%,1)</f>
        <v>91.7</v>
      </c>
      <c r="O170" s="6">
        <f>ROUND(H170*45%+I170*10%+VLOOKUP(G170,规则与说明!$A$6:$B$11,2,FALSE)*45%,1)</f>
        <v>89.2</v>
      </c>
      <c r="P170" s="7" t="s">
        <v>396</v>
      </c>
      <c r="Q170" s="1" t="s">
        <v>25</v>
      </c>
      <c r="R170" s="1" t="s">
        <v>388</v>
      </c>
    </row>
    <row r="171" spans="1:18" ht="15" hidden="1">
      <c r="A171" s="3">
        <v>167</v>
      </c>
      <c r="B171" s="1" t="s">
        <v>397</v>
      </c>
      <c r="C171" s="1" t="s">
        <v>385</v>
      </c>
      <c r="D171" s="1" t="s">
        <v>386</v>
      </c>
      <c r="E171" s="1">
        <v>1</v>
      </c>
      <c r="F171" s="1" t="s">
        <v>398</v>
      </c>
      <c r="G171" s="4">
        <v>3</v>
      </c>
      <c r="H171" s="5">
        <v>83</v>
      </c>
      <c r="I171" s="5">
        <v>80</v>
      </c>
      <c r="J171" s="5">
        <v>72</v>
      </c>
      <c r="K171" s="5">
        <v>83</v>
      </c>
      <c r="L171" s="5">
        <v>78</v>
      </c>
      <c r="M171" s="5">
        <v>72</v>
      </c>
      <c r="N171" s="6">
        <f>ROUND(H171*35%+I171*45%+VLOOKUP(G171,规则与说明!$A$6:$B$11,2,FALSE)*20%,1)</f>
        <v>80.900000000000006</v>
      </c>
      <c r="O171" s="6">
        <f>ROUND(H171*45%+I171*10%+VLOOKUP(G171,规则与说明!$A$6:$B$11,2,FALSE)*45%,1)</f>
        <v>80.900000000000006</v>
      </c>
      <c r="P171" s="7" t="s">
        <v>46</v>
      </c>
      <c r="Q171" s="1" t="s">
        <v>38</v>
      </c>
      <c r="R171" s="1" t="s">
        <v>388</v>
      </c>
    </row>
    <row r="172" spans="1:18" ht="15" hidden="1">
      <c r="A172" s="3">
        <v>168</v>
      </c>
      <c r="B172" s="1" t="s">
        <v>399</v>
      </c>
      <c r="C172" s="1" t="s">
        <v>385</v>
      </c>
      <c r="D172" s="1" t="s">
        <v>386</v>
      </c>
      <c r="E172" s="1">
        <v>1</v>
      </c>
      <c r="F172" s="1" t="s">
        <v>400</v>
      </c>
      <c r="G172" s="4">
        <v>3</v>
      </c>
      <c r="H172" s="5">
        <v>80</v>
      </c>
      <c r="I172" s="5">
        <v>85</v>
      </c>
      <c r="J172" s="5">
        <v>75</v>
      </c>
      <c r="K172" s="5">
        <v>78</v>
      </c>
      <c r="L172" s="5">
        <v>75</v>
      </c>
      <c r="M172" s="5">
        <v>74</v>
      </c>
      <c r="N172" s="6">
        <f>ROUND(H172*35%+I172*45%+VLOOKUP(G172,规则与说明!$A$6:$B$11,2,FALSE)*20%,1)</f>
        <v>82.1</v>
      </c>
      <c r="O172" s="6">
        <f>ROUND(H172*45%+I172*10%+VLOOKUP(G172,规则与说明!$A$6:$B$11,2,FALSE)*45%,1)</f>
        <v>80.099999999999994</v>
      </c>
      <c r="P172" s="7" t="s">
        <v>46</v>
      </c>
      <c r="Q172" s="1" t="s">
        <v>38</v>
      </c>
      <c r="R172" s="1" t="s">
        <v>388</v>
      </c>
    </row>
    <row r="173" spans="1:18" ht="15" hidden="1">
      <c r="A173" s="3">
        <v>169</v>
      </c>
      <c r="B173" s="1" t="s">
        <v>401</v>
      </c>
      <c r="C173" s="1" t="s">
        <v>385</v>
      </c>
      <c r="D173" s="1" t="s">
        <v>386</v>
      </c>
      <c r="E173" s="1">
        <v>1</v>
      </c>
      <c r="F173" s="1" t="s">
        <v>402</v>
      </c>
      <c r="G173" s="4">
        <v>3</v>
      </c>
      <c r="H173" s="5">
        <v>81</v>
      </c>
      <c r="I173" s="5">
        <v>90</v>
      </c>
      <c r="J173" s="5">
        <v>71</v>
      </c>
      <c r="K173" s="5">
        <v>83</v>
      </c>
      <c r="L173" s="5">
        <v>76</v>
      </c>
      <c r="M173" s="5">
        <v>86</v>
      </c>
      <c r="N173" s="6">
        <f>ROUND(H173*35%+I173*45%+VLOOKUP(G173,规则与说明!$A$6:$B$11,2,FALSE)*20%,1)</f>
        <v>84.7</v>
      </c>
      <c r="O173" s="6">
        <f>ROUND(H173*45%+I173*10%+VLOOKUP(G173,规则与说明!$A$6:$B$11,2,FALSE)*45%,1)</f>
        <v>81</v>
      </c>
      <c r="P173" s="7" t="s">
        <v>403</v>
      </c>
      <c r="Q173" s="1" t="s">
        <v>25</v>
      </c>
      <c r="R173" s="1" t="s">
        <v>388</v>
      </c>
    </row>
    <row r="174" spans="1:18" ht="15" hidden="1">
      <c r="A174" s="3">
        <v>170</v>
      </c>
      <c r="B174" s="1" t="s">
        <v>404</v>
      </c>
      <c r="C174" s="1" t="s">
        <v>385</v>
      </c>
      <c r="D174" s="1" t="s">
        <v>386</v>
      </c>
      <c r="E174" s="1">
        <v>1</v>
      </c>
      <c r="F174" s="1" t="s">
        <v>405</v>
      </c>
      <c r="G174" s="4">
        <v>3</v>
      </c>
      <c r="H174" s="5">
        <v>84</v>
      </c>
      <c r="I174" s="5">
        <v>84</v>
      </c>
      <c r="J174" s="5">
        <v>74</v>
      </c>
      <c r="K174" s="5">
        <v>78</v>
      </c>
      <c r="L174" s="5">
        <v>74</v>
      </c>
      <c r="M174" s="5">
        <v>78</v>
      </c>
      <c r="N174" s="6">
        <f>ROUND(H174*35%+I174*45%+VLOOKUP(G174,规则与说明!$A$6:$B$11,2,FALSE)*20%,1)</f>
        <v>83</v>
      </c>
      <c r="O174" s="6">
        <f>ROUND(H174*45%+I174*10%+VLOOKUP(G174,规则与说明!$A$6:$B$11,2,FALSE)*45%,1)</f>
        <v>81.8</v>
      </c>
      <c r="P174" s="7" t="s">
        <v>46</v>
      </c>
      <c r="Q174" s="1" t="s">
        <v>38</v>
      </c>
      <c r="R174" s="1" t="s">
        <v>388</v>
      </c>
    </row>
    <row r="175" spans="1:18" ht="15" hidden="1">
      <c r="A175" s="3">
        <v>171</v>
      </c>
      <c r="B175" s="1" t="s">
        <v>406</v>
      </c>
      <c r="C175" s="1" t="s">
        <v>385</v>
      </c>
      <c r="D175" s="1" t="s">
        <v>386</v>
      </c>
      <c r="E175" s="1">
        <v>1</v>
      </c>
      <c r="F175" s="1" t="s">
        <v>407</v>
      </c>
      <c r="G175" s="4">
        <v>3</v>
      </c>
      <c r="H175" s="5">
        <v>82</v>
      </c>
      <c r="I175" s="5">
        <v>82</v>
      </c>
      <c r="J175" s="5">
        <v>72</v>
      </c>
      <c r="K175" s="5">
        <v>79</v>
      </c>
      <c r="L175" s="5">
        <v>75</v>
      </c>
      <c r="M175" s="5">
        <v>73</v>
      </c>
      <c r="N175" s="6">
        <f>ROUND(H175*35%+I175*45%+VLOOKUP(G175,规则与说明!$A$6:$B$11,2,FALSE)*20%,1)</f>
        <v>81.400000000000006</v>
      </c>
      <c r="O175" s="6">
        <f>ROUND(H175*45%+I175*10%+VLOOKUP(G175,规则与说明!$A$6:$B$11,2,FALSE)*45%,1)</f>
        <v>80.7</v>
      </c>
      <c r="P175" s="7" t="s">
        <v>46</v>
      </c>
      <c r="Q175" s="1" t="s">
        <v>38</v>
      </c>
      <c r="R175" s="1" t="s">
        <v>388</v>
      </c>
    </row>
    <row r="176" spans="1:18" ht="15" hidden="1">
      <c r="A176" s="3">
        <v>172</v>
      </c>
      <c r="B176" s="1" t="s">
        <v>408</v>
      </c>
      <c r="C176" s="1" t="s">
        <v>385</v>
      </c>
      <c r="D176" s="1" t="s">
        <v>386</v>
      </c>
      <c r="E176" s="1">
        <v>1</v>
      </c>
      <c r="F176" s="1" t="s">
        <v>409</v>
      </c>
      <c r="G176" s="4">
        <v>3</v>
      </c>
      <c r="H176" s="5">
        <v>84</v>
      </c>
      <c r="I176" s="5">
        <v>88</v>
      </c>
      <c r="J176" s="5">
        <v>75</v>
      </c>
      <c r="K176" s="5">
        <v>83</v>
      </c>
      <c r="L176" s="5">
        <v>75</v>
      </c>
      <c r="M176" s="5">
        <v>88</v>
      </c>
      <c r="N176" s="6">
        <f>ROUND(H176*35%+I176*45%+VLOOKUP(G176,规则与说明!$A$6:$B$11,2,FALSE)*20%,1)</f>
        <v>84.8</v>
      </c>
      <c r="O176" s="6">
        <f>ROUND(H176*45%+I176*10%+VLOOKUP(G176,规则与说明!$A$6:$B$11,2,FALSE)*45%,1)</f>
        <v>82.2</v>
      </c>
      <c r="P176" s="7" t="s">
        <v>410</v>
      </c>
      <c r="Q176" s="1" t="s">
        <v>25</v>
      </c>
      <c r="R176" s="1" t="s">
        <v>388</v>
      </c>
    </row>
    <row r="177" spans="1:18" ht="15" hidden="1">
      <c r="A177" s="3">
        <v>173</v>
      </c>
      <c r="B177" s="1" t="s">
        <v>411</v>
      </c>
      <c r="C177" s="1" t="s">
        <v>385</v>
      </c>
      <c r="D177" s="1" t="s">
        <v>386</v>
      </c>
      <c r="E177" s="1">
        <v>1</v>
      </c>
      <c r="F177" s="1" t="s">
        <v>412</v>
      </c>
      <c r="G177" s="4">
        <v>4</v>
      </c>
      <c r="H177" s="5">
        <v>72</v>
      </c>
      <c r="I177" s="5">
        <v>74</v>
      </c>
      <c r="J177" s="5">
        <v>63</v>
      </c>
      <c r="K177" s="5">
        <v>71</v>
      </c>
      <c r="L177" s="5">
        <v>71</v>
      </c>
      <c r="M177" s="5">
        <v>75</v>
      </c>
      <c r="N177" s="6">
        <f>ROUND(H177*35%+I177*45%+VLOOKUP(G177,规则与说明!$A$6:$B$11,2,FALSE)*20%,1)</f>
        <v>72.5</v>
      </c>
      <c r="O177" s="6">
        <f>ROUND(H177*45%+I177*10%+VLOOKUP(G177,规则与说明!$A$6:$B$11,2,FALSE)*45%,1)</f>
        <v>71.3</v>
      </c>
      <c r="P177" s="7" t="s">
        <v>46</v>
      </c>
      <c r="Q177" s="1" t="s">
        <v>38</v>
      </c>
      <c r="R177" s="1" t="s">
        <v>388</v>
      </c>
    </row>
    <row r="178" spans="1:18" ht="15" hidden="1">
      <c r="A178" s="3">
        <v>174</v>
      </c>
      <c r="B178" s="1" t="s">
        <v>413</v>
      </c>
      <c r="C178" s="1" t="s">
        <v>385</v>
      </c>
      <c r="D178" s="1" t="s">
        <v>386</v>
      </c>
      <c r="E178" s="1">
        <v>1</v>
      </c>
      <c r="F178" s="1" t="s">
        <v>414</v>
      </c>
      <c r="G178" s="4">
        <v>4</v>
      </c>
      <c r="H178" s="5">
        <v>76</v>
      </c>
      <c r="I178" s="5">
        <v>72</v>
      </c>
      <c r="J178" s="5">
        <v>57</v>
      </c>
      <c r="K178" s="5">
        <v>68</v>
      </c>
      <c r="L178" s="5">
        <v>68</v>
      </c>
      <c r="M178" s="5">
        <v>82</v>
      </c>
      <c r="N178" s="6">
        <f>ROUND(H178*35%+I178*45%+VLOOKUP(G178,规则与说明!$A$6:$B$11,2,FALSE)*20%,1)</f>
        <v>73</v>
      </c>
      <c r="O178" s="6">
        <f>ROUND(H178*45%+I178*10%+VLOOKUP(G178,规则与说明!$A$6:$B$11,2,FALSE)*45%,1)</f>
        <v>72.900000000000006</v>
      </c>
      <c r="P178" s="7" t="s">
        <v>46</v>
      </c>
      <c r="Q178" s="1" t="s">
        <v>38</v>
      </c>
      <c r="R178" s="1" t="s">
        <v>388</v>
      </c>
    </row>
    <row r="179" spans="1:18" ht="15" hidden="1">
      <c r="A179" s="3">
        <v>175</v>
      </c>
      <c r="B179" s="1" t="s">
        <v>415</v>
      </c>
      <c r="C179" s="1" t="s">
        <v>385</v>
      </c>
      <c r="D179" s="1" t="s">
        <v>386</v>
      </c>
      <c r="E179" s="1">
        <v>1</v>
      </c>
      <c r="F179" s="1" t="s">
        <v>416</v>
      </c>
      <c r="G179" s="4">
        <v>4</v>
      </c>
      <c r="H179" s="5">
        <v>72</v>
      </c>
      <c r="I179" s="5">
        <v>76</v>
      </c>
      <c r="J179" s="5">
        <v>63</v>
      </c>
      <c r="K179" s="5">
        <v>71</v>
      </c>
      <c r="L179" s="5">
        <v>70</v>
      </c>
      <c r="M179" s="5">
        <v>76</v>
      </c>
      <c r="N179" s="6">
        <f>ROUND(H179*35%+I179*45%+VLOOKUP(G179,规则与说明!$A$6:$B$11,2,FALSE)*20%,1)</f>
        <v>73.400000000000006</v>
      </c>
      <c r="O179" s="6">
        <f>ROUND(H179*45%+I179*10%+VLOOKUP(G179,规则与说明!$A$6:$B$11,2,FALSE)*45%,1)</f>
        <v>71.5</v>
      </c>
      <c r="P179" s="7" t="s">
        <v>46</v>
      </c>
      <c r="Q179" s="1" t="s">
        <v>38</v>
      </c>
      <c r="R179" s="1" t="s">
        <v>388</v>
      </c>
    </row>
    <row r="180" spans="1:18" ht="15" hidden="1">
      <c r="A180" s="3">
        <v>176</v>
      </c>
      <c r="B180" s="1" t="s">
        <v>417</v>
      </c>
      <c r="C180" s="1" t="s">
        <v>385</v>
      </c>
      <c r="D180" s="1" t="s">
        <v>386</v>
      </c>
      <c r="E180" s="1">
        <v>1</v>
      </c>
      <c r="F180" s="1" t="s">
        <v>418</v>
      </c>
      <c r="G180" s="4">
        <v>4</v>
      </c>
      <c r="H180" s="5">
        <v>73</v>
      </c>
      <c r="I180" s="5">
        <v>77</v>
      </c>
      <c r="J180" s="5">
        <v>62</v>
      </c>
      <c r="K180" s="5">
        <v>66</v>
      </c>
      <c r="L180" s="5">
        <v>70</v>
      </c>
      <c r="M180" s="5">
        <v>76</v>
      </c>
      <c r="N180" s="6">
        <f>ROUND(H180*35%+I180*45%+VLOOKUP(G180,规则与说明!$A$6:$B$11,2,FALSE)*20%,1)</f>
        <v>74.2</v>
      </c>
      <c r="O180" s="6">
        <f>ROUND(H180*45%+I180*10%+VLOOKUP(G180,规则与说明!$A$6:$B$11,2,FALSE)*45%,1)</f>
        <v>72.099999999999994</v>
      </c>
      <c r="P180" s="7" t="s">
        <v>46</v>
      </c>
      <c r="Q180" s="1" t="s">
        <v>38</v>
      </c>
      <c r="R180" s="1" t="s">
        <v>388</v>
      </c>
    </row>
    <row r="181" spans="1:18" ht="15" hidden="1">
      <c r="A181" s="3">
        <v>177</v>
      </c>
      <c r="B181" s="1" t="s">
        <v>419</v>
      </c>
      <c r="C181" s="1" t="s">
        <v>385</v>
      </c>
      <c r="D181" s="1" t="s">
        <v>386</v>
      </c>
      <c r="E181" s="1">
        <v>1</v>
      </c>
      <c r="F181" s="1" t="s">
        <v>420</v>
      </c>
      <c r="G181" s="4">
        <v>4</v>
      </c>
      <c r="H181" s="5">
        <v>76</v>
      </c>
      <c r="I181" s="5">
        <v>72</v>
      </c>
      <c r="J181" s="5">
        <v>60</v>
      </c>
      <c r="K181" s="5">
        <v>66</v>
      </c>
      <c r="L181" s="5">
        <v>67</v>
      </c>
      <c r="M181" s="5">
        <v>83</v>
      </c>
      <c r="N181" s="6">
        <f>ROUND(H181*35%+I181*45%+VLOOKUP(G181,规则与说明!$A$6:$B$11,2,FALSE)*20%,1)</f>
        <v>73</v>
      </c>
      <c r="O181" s="6">
        <f>ROUND(H181*45%+I181*10%+VLOOKUP(G181,规则与说明!$A$6:$B$11,2,FALSE)*45%,1)</f>
        <v>72.900000000000006</v>
      </c>
      <c r="P181" s="7" t="s">
        <v>46</v>
      </c>
      <c r="Q181" s="1" t="s">
        <v>38</v>
      </c>
      <c r="R181" s="1" t="s">
        <v>388</v>
      </c>
    </row>
    <row r="182" spans="1:18" ht="15" hidden="1">
      <c r="A182" s="3">
        <v>178</v>
      </c>
      <c r="B182" s="1" t="s">
        <v>421</v>
      </c>
      <c r="C182" s="1" t="s">
        <v>385</v>
      </c>
      <c r="D182" s="1" t="s">
        <v>386</v>
      </c>
      <c r="E182" s="1">
        <v>1</v>
      </c>
      <c r="F182" s="1" t="s">
        <v>422</v>
      </c>
      <c r="G182" s="4">
        <v>4</v>
      </c>
      <c r="H182" s="5">
        <v>75</v>
      </c>
      <c r="I182" s="5">
        <v>73</v>
      </c>
      <c r="J182" s="5">
        <v>60</v>
      </c>
      <c r="K182" s="5">
        <v>69</v>
      </c>
      <c r="L182" s="5">
        <v>68</v>
      </c>
      <c r="M182" s="5">
        <v>77</v>
      </c>
      <c r="N182" s="6">
        <f>ROUND(H182*35%+I182*45%+VLOOKUP(G182,规则与说明!$A$6:$B$11,2,FALSE)*20%,1)</f>
        <v>73.099999999999994</v>
      </c>
      <c r="O182" s="6">
        <f>ROUND(H182*45%+I182*10%+VLOOKUP(G182,规则与说明!$A$6:$B$11,2,FALSE)*45%,1)</f>
        <v>72.599999999999994</v>
      </c>
      <c r="P182" s="7" t="s">
        <v>46</v>
      </c>
      <c r="Q182" s="1" t="s">
        <v>38</v>
      </c>
      <c r="R182" s="1" t="s">
        <v>388</v>
      </c>
    </row>
    <row r="183" spans="1:18" ht="15" hidden="1">
      <c r="A183" s="3">
        <v>179</v>
      </c>
      <c r="B183" s="1" t="s">
        <v>423</v>
      </c>
      <c r="C183" s="1" t="s">
        <v>385</v>
      </c>
      <c r="D183" s="1" t="s">
        <v>386</v>
      </c>
      <c r="E183" s="1">
        <v>1</v>
      </c>
      <c r="F183" s="1" t="s">
        <v>424</v>
      </c>
      <c r="G183" s="4">
        <v>4</v>
      </c>
      <c r="H183" s="5">
        <v>74</v>
      </c>
      <c r="I183" s="5">
        <v>70</v>
      </c>
      <c r="J183" s="5">
        <v>59</v>
      </c>
      <c r="K183" s="5">
        <v>66</v>
      </c>
      <c r="L183" s="5">
        <v>67</v>
      </c>
      <c r="M183" s="5">
        <v>81</v>
      </c>
      <c r="N183" s="6">
        <f>ROUND(H183*35%+I183*45%+VLOOKUP(G183,规则与说明!$A$6:$B$11,2,FALSE)*20%,1)</f>
        <v>71.400000000000006</v>
      </c>
      <c r="O183" s="6">
        <f>ROUND(H183*45%+I183*10%+VLOOKUP(G183,规则与说明!$A$6:$B$11,2,FALSE)*45%,1)</f>
        <v>71.8</v>
      </c>
      <c r="P183" s="7" t="s">
        <v>46</v>
      </c>
      <c r="Q183" s="1" t="s">
        <v>38</v>
      </c>
      <c r="R183" s="1" t="s">
        <v>388</v>
      </c>
    </row>
    <row r="184" spans="1:18" ht="15" hidden="1">
      <c r="A184" s="3">
        <v>180</v>
      </c>
      <c r="B184" s="1" t="s">
        <v>425</v>
      </c>
      <c r="C184" s="1" t="s">
        <v>385</v>
      </c>
      <c r="D184" s="1" t="s">
        <v>386</v>
      </c>
      <c r="E184" s="1">
        <v>1</v>
      </c>
      <c r="F184" s="1" t="s">
        <v>426</v>
      </c>
      <c r="G184" s="4">
        <v>4</v>
      </c>
      <c r="H184" s="5">
        <v>72</v>
      </c>
      <c r="I184" s="5">
        <v>77</v>
      </c>
      <c r="J184" s="5">
        <v>60</v>
      </c>
      <c r="K184" s="5">
        <v>71</v>
      </c>
      <c r="L184" s="5">
        <v>71</v>
      </c>
      <c r="M184" s="5">
        <v>76</v>
      </c>
      <c r="N184" s="6">
        <f>ROUND(H184*35%+I184*45%+VLOOKUP(G184,规则与说明!$A$6:$B$11,2,FALSE)*20%,1)</f>
        <v>73.900000000000006</v>
      </c>
      <c r="O184" s="6">
        <f>ROUND(H184*45%+I184*10%+VLOOKUP(G184,规则与说明!$A$6:$B$11,2,FALSE)*45%,1)</f>
        <v>71.599999999999994</v>
      </c>
      <c r="P184" s="7" t="s">
        <v>46</v>
      </c>
      <c r="Q184" s="1" t="s">
        <v>38</v>
      </c>
      <c r="R184" s="1" t="s">
        <v>388</v>
      </c>
    </row>
    <row r="185" spans="1:18" ht="15" hidden="1">
      <c r="A185" s="3">
        <v>181</v>
      </c>
      <c r="B185" s="1" t="s">
        <v>427</v>
      </c>
      <c r="C185" s="1" t="s">
        <v>385</v>
      </c>
      <c r="D185" s="1" t="s">
        <v>428</v>
      </c>
      <c r="E185" s="1">
        <v>2</v>
      </c>
      <c r="F185" s="1" t="s">
        <v>429</v>
      </c>
      <c r="G185" s="4">
        <v>4</v>
      </c>
      <c r="H185" s="5">
        <v>75</v>
      </c>
      <c r="I185" s="5">
        <v>73</v>
      </c>
      <c r="J185" s="5">
        <v>57</v>
      </c>
      <c r="K185" s="5">
        <v>63</v>
      </c>
      <c r="L185" s="5">
        <v>67</v>
      </c>
      <c r="M185" s="5">
        <v>82</v>
      </c>
      <c r="N185" s="6">
        <f>ROUND(H185*35%+I185*45%+VLOOKUP(G185,规则与说明!$A$6:$B$11,2,FALSE)*20%,1)</f>
        <v>73.099999999999994</v>
      </c>
      <c r="O185" s="6">
        <f>ROUND(H185*45%+I185*10%+VLOOKUP(G185,规则与说明!$A$6:$B$11,2,FALSE)*45%,1)</f>
        <v>72.599999999999994</v>
      </c>
      <c r="P185" s="7" t="s">
        <v>46</v>
      </c>
      <c r="Q185" s="1" t="s">
        <v>38</v>
      </c>
      <c r="R185" s="1" t="s">
        <v>430</v>
      </c>
    </row>
    <row r="186" spans="1:18" ht="15" hidden="1">
      <c r="A186" s="3">
        <v>182</v>
      </c>
      <c r="B186" s="1" t="s">
        <v>431</v>
      </c>
      <c r="C186" s="1" t="s">
        <v>385</v>
      </c>
      <c r="D186" s="1" t="s">
        <v>428</v>
      </c>
      <c r="E186" s="1">
        <v>2</v>
      </c>
      <c r="F186" s="1" t="s">
        <v>432</v>
      </c>
      <c r="G186" s="4">
        <v>4</v>
      </c>
      <c r="H186" s="5">
        <v>74</v>
      </c>
      <c r="I186" s="5">
        <v>69</v>
      </c>
      <c r="J186" s="5">
        <v>58</v>
      </c>
      <c r="K186" s="5">
        <v>63</v>
      </c>
      <c r="L186" s="5">
        <v>69</v>
      </c>
      <c r="M186" s="5">
        <v>79</v>
      </c>
      <c r="N186" s="6">
        <f>ROUND(H186*35%+I186*45%+VLOOKUP(G186,规则与说明!$A$6:$B$11,2,FALSE)*20%,1)</f>
        <v>71</v>
      </c>
      <c r="O186" s="6">
        <f>ROUND(H186*45%+I186*10%+VLOOKUP(G186,规则与说明!$A$6:$B$11,2,FALSE)*45%,1)</f>
        <v>71.7</v>
      </c>
      <c r="P186" s="7" t="s">
        <v>46</v>
      </c>
      <c r="Q186" s="1" t="s">
        <v>38</v>
      </c>
      <c r="R186" s="1" t="s">
        <v>430</v>
      </c>
    </row>
    <row r="187" spans="1:18" ht="15" hidden="1">
      <c r="A187" s="3">
        <v>183</v>
      </c>
      <c r="B187" s="1" t="s">
        <v>433</v>
      </c>
      <c r="C187" s="1" t="s">
        <v>385</v>
      </c>
      <c r="D187" s="1" t="s">
        <v>428</v>
      </c>
      <c r="E187" s="1">
        <v>2</v>
      </c>
      <c r="F187" s="1" t="s">
        <v>434</v>
      </c>
      <c r="G187" s="4">
        <v>4</v>
      </c>
      <c r="H187" s="5">
        <v>71</v>
      </c>
      <c r="I187" s="5">
        <v>71</v>
      </c>
      <c r="J187" s="5">
        <v>59</v>
      </c>
      <c r="K187" s="5">
        <v>68</v>
      </c>
      <c r="L187" s="5">
        <v>71</v>
      </c>
      <c r="M187" s="5">
        <v>79</v>
      </c>
      <c r="N187" s="6">
        <f>ROUND(H187*35%+I187*45%+VLOOKUP(G187,规则与说明!$A$6:$B$11,2,FALSE)*20%,1)</f>
        <v>70.8</v>
      </c>
      <c r="O187" s="6">
        <f>ROUND(H187*45%+I187*10%+VLOOKUP(G187,规则与说明!$A$6:$B$11,2,FALSE)*45%,1)</f>
        <v>70.599999999999994</v>
      </c>
      <c r="P187" s="7" t="s">
        <v>46</v>
      </c>
      <c r="Q187" s="1" t="s">
        <v>38</v>
      </c>
      <c r="R187" s="1" t="s">
        <v>430</v>
      </c>
    </row>
    <row r="188" spans="1:18" ht="15" hidden="1">
      <c r="A188" s="3">
        <v>184</v>
      </c>
      <c r="B188" s="1" t="s">
        <v>435</v>
      </c>
      <c r="C188" s="1" t="s">
        <v>385</v>
      </c>
      <c r="D188" s="1" t="s">
        <v>428</v>
      </c>
      <c r="E188" s="1">
        <v>2</v>
      </c>
      <c r="F188" s="1" t="s">
        <v>436</v>
      </c>
      <c r="G188" s="4">
        <v>4</v>
      </c>
      <c r="H188" s="5">
        <v>71</v>
      </c>
      <c r="I188" s="5">
        <v>77</v>
      </c>
      <c r="J188" s="5">
        <v>57</v>
      </c>
      <c r="K188" s="5">
        <v>62</v>
      </c>
      <c r="L188" s="5">
        <v>67</v>
      </c>
      <c r="M188" s="5">
        <v>77</v>
      </c>
      <c r="N188" s="6">
        <f>ROUND(H188*35%+I188*45%+VLOOKUP(G188,规则与说明!$A$6:$B$11,2,FALSE)*20%,1)</f>
        <v>73.5</v>
      </c>
      <c r="O188" s="6">
        <f>ROUND(H188*45%+I188*10%+VLOOKUP(G188,规则与说明!$A$6:$B$11,2,FALSE)*45%,1)</f>
        <v>71.2</v>
      </c>
      <c r="P188" s="7" t="s">
        <v>46</v>
      </c>
      <c r="Q188" s="1" t="s">
        <v>38</v>
      </c>
      <c r="R188" s="1" t="s">
        <v>430</v>
      </c>
    </row>
    <row r="189" spans="1:18" ht="15" hidden="1">
      <c r="A189" s="3">
        <v>185</v>
      </c>
      <c r="B189" s="1" t="s">
        <v>437</v>
      </c>
      <c r="C189" s="1" t="s">
        <v>385</v>
      </c>
      <c r="D189" s="1" t="s">
        <v>428</v>
      </c>
      <c r="E189" s="1">
        <v>2</v>
      </c>
      <c r="F189" s="1" t="s">
        <v>438</v>
      </c>
      <c r="G189" s="4">
        <v>4</v>
      </c>
      <c r="H189" s="5">
        <v>71</v>
      </c>
      <c r="I189" s="5">
        <v>76</v>
      </c>
      <c r="J189" s="5">
        <v>58</v>
      </c>
      <c r="K189" s="5">
        <v>68</v>
      </c>
      <c r="L189" s="5">
        <v>69</v>
      </c>
      <c r="M189" s="5">
        <v>80</v>
      </c>
      <c r="N189" s="6">
        <f>ROUND(H189*35%+I189*45%+VLOOKUP(G189,规则与说明!$A$6:$B$11,2,FALSE)*20%,1)</f>
        <v>73.099999999999994</v>
      </c>
      <c r="O189" s="6">
        <f>ROUND(H189*45%+I189*10%+VLOOKUP(G189,规则与说明!$A$6:$B$11,2,FALSE)*45%,1)</f>
        <v>71.099999999999994</v>
      </c>
      <c r="P189" s="7" t="s">
        <v>46</v>
      </c>
      <c r="Q189" s="1" t="s">
        <v>38</v>
      </c>
      <c r="R189" s="1" t="s">
        <v>430</v>
      </c>
    </row>
    <row r="190" spans="1:18" ht="15" hidden="1">
      <c r="A190" s="3">
        <v>186</v>
      </c>
      <c r="B190" s="1" t="s">
        <v>439</v>
      </c>
      <c r="C190" s="1" t="s">
        <v>385</v>
      </c>
      <c r="D190" s="1" t="s">
        <v>428</v>
      </c>
      <c r="E190" s="1">
        <v>2</v>
      </c>
      <c r="F190" s="1" t="s">
        <v>440</v>
      </c>
      <c r="G190" s="4">
        <v>5</v>
      </c>
      <c r="H190" s="5">
        <v>64</v>
      </c>
      <c r="I190" s="5">
        <v>62</v>
      </c>
      <c r="J190" s="5">
        <v>50</v>
      </c>
      <c r="K190" s="5">
        <v>52</v>
      </c>
      <c r="L190" s="5">
        <v>63</v>
      </c>
      <c r="M190" s="5">
        <v>82</v>
      </c>
      <c r="N190" s="6">
        <f>ROUND(H190*35%+I190*45%+VLOOKUP(G190,规则与说明!$A$6:$B$11,2,FALSE)*20%,1)</f>
        <v>62.3</v>
      </c>
      <c r="O190" s="6">
        <f>ROUND(H190*45%+I190*10%+VLOOKUP(G190,规则与说明!$A$6:$B$11,2,FALSE)*45%,1)</f>
        <v>62</v>
      </c>
      <c r="P190" s="7" t="s">
        <v>46</v>
      </c>
      <c r="Q190" s="1" t="s">
        <v>38</v>
      </c>
      <c r="R190" s="1" t="s">
        <v>430</v>
      </c>
    </row>
    <row r="191" spans="1:18" ht="15" hidden="1">
      <c r="A191" s="3">
        <v>187</v>
      </c>
      <c r="B191" s="1" t="s">
        <v>441</v>
      </c>
      <c r="C191" s="1" t="s">
        <v>385</v>
      </c>
      <c r="D191" s="1" t="s">
        <v>428</v>
      </c>
      <c r="E191" s="1">
        <v>2</v>
      </c>
      <c r="F191" s="1" t="s">
        <v>442</v>
      </c>
      <c r="G191" s="4">
        <v>5</v>
      </c>
      <c r="H191" s="5">
        <v>65</v>
      </c>
      <c r="I191" s="5">
        <v>64</v>
      </c>
      <c r="J191" s="5">
        <v>44</v>
      </c>
      <c r="K191" s="5">
        <v>51</v>
      </c>
      <c r="L191" s="5">
        <v>65</v>
      </c>
      <c r="M191" s="5">
        <v>83</v>
      </c>
      <c r="N191" s="6">
        <f>ROUND(H191*35%+I191*45%+VLOOKUP(G191,规则与说明!$A$6:$B$11,2,FALSE)*20%,1)</f>
        <v>63.6</v>
      </c>
      <c r="O191" s="6">
        <f>ROUND(H191*45%+I191*10%+VLOOKUP(G191,规则与说明!$A$6:$B$11,2,FALSE)*45%,1)</f>
        <v>62.7</v>
      </c>
      <c r="P191" s="7" t="s">
        <v>46</v>
      </c>
      <c r="Q191" s="1" t="s">
        <v>38</v>
      </c>
      <c r="R191" s="1" t="s">
        <v>430</v>
      </c>
    </row>
    <row r="192" spans="1:18" ht="15" hidden="1">
      <c r="A192" s="3">
        <v>188</v>
      </c>
      <c r="B192" s="1" t="s">
        <v>443</v>
      </c>
      <c r="C192" s="1" t="s">
        <v>385</v>
      </c>
      <c r="D192" s="1" t="s">
        <v>428</v>
      </c>
      <c r="E192" s="1">
        <v>2</v>
      </c>
      <c r="F192" s="1" t="s">
        <v>444</v>
      </c>
      <c r="G192" s="4">
        <v>5</v>
      </c>
      <c r="H192" s="5">
        <v>63</v>
      </c>
      <c r="I192" s="5">
        <v>67</v>
      </c>
      <c r="J192" s="5">
        <v>50</v>
      </c>
      <c r="K192" s="5">
        <v>50</v>
      </c>
      <c r="L192" s="5">
        <v>65</v>
      </c>
      <c r="M192" s="5">
        <v>81</v>
      </c>
      <c r="N192" s="6">
        <f>ROUND(H192*35%+I192*45%+VLOOKUP(G192,规则与说明!$A$6:$B$11,2,FALSE)*20%,1)</f>
        <v>64.2</v>
      </c>
      <c r="O192" s="6">
        <f>ROUND(H192*45%+I192*10%+VLOOKUP(G192,规则与说明!$A$6:$B$11,2,FALSE)*45%,1)</f>
        <v>62.1</v>
      </c>
      <c r="P192" s="7" t="s">
        <v>46</v>
      </c>
      <c r="Q192" s="1" t="s">
        <v>38</v>
      </c>
      <c r="R192" s="1" t="s">
        <v>430</v>
      </c>
    </row>
    <row r="193" spans="1:18" ht="15" hidden="1">
      <c r="A193" s="3">
        <v>189</v>
      </c>
      <c r="B193" s="1" t="s">
        <v>445</v>
      </c>
      <c r="C193" s="1" t="s">
        <v>385</v>
      </c>
      <c r="D193" s="1" t="s">
        <v>428</v>
      </c>
      <c r="E193" s="1">
        <v>2</v>
      </c>
      <c r="F193" s="1" t="s">
        <v>446</v>
      </c>
      <c r="G193" s="4">
        <v>5</v>
      </c>
      <c r="H193" s="5">
        <v>62</v>
      </c>
      <c r="I193" s="5">
        <v>64</v>
      </c>
      <c r="J193" s="5">
        <v>48</v>
      </c>
      <c r="K193" s="5">
        <v>51</v>
      </c>
      <c r="L193" s="5">
        <v>65</v>
      </c>
      <c r="M193" s="5">
        <v>84</v>
      </c>
      <c r="N193" s="6">
        <f>ROUND(H193*35%+I193*45%+VLOOKUP(G193,规则与说明!$A$6:$B$11,2,FALSE)*20%,1)</f>
        <v>62.5</v>
      </c>
      <c r="O193" s="6">
        <f>ROUND(H193*45%+I193*10%+VLOOKUP(G193,规则与说明!$A$6:$B$11,2,FALSE)*45%,1)</f>
        <v>61.3</v>
      </c>
      <c r="P193" s="7" t="s">
        <v>46</v>
      </c>
      <c r="Q193" s="1" t="s">
        <v>38</v>
      </c>
      <c r="R193" s="1" t="s">
        <v>430</v>
      </c>
    </row>
    <row r="194" spans="1:18" ht="15" hidden="1">
      <c r="A194" s="3">
        <v>190</v>
      </c>
      <c r="B194" s="1" t="s">
        <v>447</v>
      </c>
      <c r="C194" s="1" t="s">
        <v>385</v>
      </c>
      <c r="D194" s="1" t="s">
        <v>428</v>
      </c>
      <c r="E194" s="1">
        <v>2</v>
      </c>
      <c r="F194" s="1" t="s">
        <v>448</v>
      </c>
      <c r="G194" s="4">
        <v>5</v>
      </c>
      <c r="H194" s="5">
        <v>65</v>
      </c>
      <c r="I194" s="5">
        <v>64</v>
      </c>
      <c r="J194" s="5">
        <v>48</v>
      </c>
      <c r="K194" s="5">
        <v>52</v>
      </c>
      <c r="L194" s="5">
        <v>63</v>
      </c>
      <c r="M194" s="5">
        <v>83</v>
      </c>
      <c r="N194" s="6">
        <f>ROUND(H194*35%+I194*45%+VLOOKUP(G194,规则与说明!$A$6:$B$11,2,FALSE)*20%,1)</f>
        <v>63.6</v>
      </c>
      <c r="O194" s="6">
        <f>ROUND(H194*45%+I194*10%+VLOOKUP(G194,规则与说明!$A$6:$B$11,2,FALSE)*45%,1)</f>
        <v>62.7</v>
      </c>
      <c r="P194" s="7" t="s">
        <v>46</v>
      </c>
      <c r="Q194" s="1" t="s">
        <v>38</v>
      </c>
      <c r="R194" s="1" t="s">
        <v>430</v>
      </c>
    </row>
    <row r="195" spans="1:18" ht="15" hidden="1">
      <c r="A195" s="3">
        <v>191</v>
      </c>
      <c r="B195" s="1" t="s">
        <v>449</v>
      </c>
      <c r="C195" s="1" t="s">
        <v>385</v>
      </c>
      <c r="D195" s="1" t="s">
        <v>428</v>
      </c>
      <c r="E195" s="1">
        <v>2</v>
      </c>
      <c r="F195" s="1" t="s">
        <v>450</v>
      </c>
      <c r="G195" s="4">
        <v>5</v>
      </c>
      <c r="H195" s="5">
        <v>65</v>
      </c>
      <c r="I195" s="5">
        <v>62</v>
      </c>
      <c r="J195" s="5">
        <v>49</v>
      </c>
      <c r="K195" s="5">
        <v>56</v>
      </c>
      <c r="L195" s="5">
        <v>61</v>
      </c>
      <c r="M195" s="5">
        <v>85</v>
      </c>
      <c r="N195" s="6">
        <f>ROUND(H195*35%+I195*45%+VLOOKUP(G195,规则与说明!$A$6:$B$11,2,FALSE)*20%,1)</f>
        <v>62.7</v>
      </c>
      <c r="O195" s="6">
        <f>ROUND(H195*45%+I195*10%+VLOOKUP(G195,规则与说明!$A$6:$B$11,2,FALSE)*45%,1)</f>
        <v>62.5</v>
      </c>
      <c r="P195" s="7" t="s">
        <v>91</v>
      </c>
      <c r="Q195" s="1" t="s">
        <v>38</v>
      </c>
      <c r="R195" s="1" t="s">
        <v>430</v>
      </c>
    </row>
    <row r="196" spans="1:18" ht="15" hidden="1">
      <c r="A196" s="3">
        <v>192</v>
      </c>
      <c r="B196" s="1" t="s">
        <v>451</v>
      </c>
      <c r="C196" s="1" t="s">
        <v>385</v>
      </c>
      <c r="D196" s="1" t="s">
        <v>428</v>
      </c>
      <c r="E196" s="1">
        <v>2</v>
      </c>
      <c r="F196" s="1" t="s">
        <v>452</v>
      </c>
      <c r="G196" s="4">
        <v>5</v>
      </c>
      <c r="H196" s="5">
        <v>61</v>
      </c>
      <c r="I196" s="5">
        <v>68</v>
      </c>
      <c r="J196" s="5">
        <v>47</v>
      </c>
      <c r="K196" s="5">
        <v>56</v>
      </c>
      <c r="L196" s="5">
        <v>62</v>
      </c>
      <c r="M196" s="5">
        <v>85</v>
      </c>
      <c r="N196" s="6">
        <f>ROUND(H196*35%+I196*45%+VLOOKUP(G196,规则与说明!$A$6:$B$11,2,FALSE)*20%,1)</f>
        <v>64</v>
      </c>
      <c r="O196" s="6">
        <f>ROUND(H196*45%+I196*10%+VLOOKUP(G196,规则与说明!$A$6:$B$11,2,FALSE)*45%,1)</f>
        <v>61.3</v>
      </c>
      <c r="P196" s="7" t="s">
        <v>91</v>
      </c>
      <c r="Q196" s="1" t="s">
        <v>38</v>
      </c>
      <c r="R196" s="1" t="s">
        <v>430</v>
      </c>
    </row>
    <row r="197" spans="1:18" ht="15" hidden="1">
      <c r="A197" s="3">
        <v>193</v>
      </c>
      <c r="B197" s="1" t="s">
        <v>453</v>
      </c>
      <c r="C197" s="1" t="s">
        <v>385</v>
      </c>
      <c r="D197" s="1" t="s">
        <v>428</v>
      </c>
      <c r="E197" s="1">
        <v>2</v>
      </c>
      <c r="F197" s="1" t="s">
        <v>454</v>
      </c>
      <c r="G197" s="4">
        <v>5</v>
      </c>
      <c r="H197" s="5">
        <v>65</v>
      </c>
      <c r="I197" s="5">
        <v>67</v>
      </c>
      <c r="J197" s="5">
        <v>47</v>
      </c>
      <c r="K197" s="5">
        <v>50</v>
      </c>
      <c r="L197" s="5">
        <v>62</v>
      </c>
      <c r="M197" s="5">
        <v>84</v>
      </c>
      <c r="N197" s="6">
        <f>ROUND(H197*35%+I197*45%+VLOOKUP(G197,规则与说明!$A$6:$B$11,2,FALSE)*20%,1)</f>
        <v>64.900000000000006</v>
      </c>
      <c r="O197" s="6">
        <f>ROUND(H197*45%+I197*10%+VLOOKUP(G197,规则与说明!$A$6:$B$11,2,FALSE)*45%,1)</f>
        <v>63</v>
      </c>
      <c r="P197" s="7" t="s">
        <v>91</v>
      </c>
      <c r="Q197" s="1" t="s">
        <v>38</v>
      </c>
      <c r="R197" s="1" t="s">
        <v>430</v>
      </c>
    </row>
    <row r="198" spans="1:18" ht="15" hidden="1">
      <c r="A198" s="3">
        <v>194</v>
      </c>
      <c r="B198" s="1" t="s">
        <v>455</v>
      </c>
      <c r="C198" s="1" t="s">
        <v>385</v>
      </c>
      <c r="D198" s="1" t="s">
        <v>428</v>
      </c>
      <c r="E198" s="1">
        <v>2</v>
      </c>
      <c r="F198" s="1" t="s">
        <v>456</v>
      </c>
      <c r="G198" s="4">
        <v>5</v>
      </c>
      <c r="H198" s="5">
        <v>65</v>
      </c>
      <c r="I198" s="5">
        <v>68</v>
      </c>
      <c r="J198" s="5">
        <v>48</v>
      </c>
      <c r="K198" s="5">
        <v>52</v>
      </c>
      <c r="L198" s="5">
        <v>62</v>
      </c>
      <c r="M198" s="5">
        <v>79</v>
      </c>
      <c r="N198" s="6">
        <f>ROUND(H198*35%+I198*45%+VLOOKUP(G198,规则与说明!$A$6:$B$11,2,FALSE)*20%,1)</f>
        <v>65.400000000000006</v>
      </c>
      <c r="O198" s="6">
        <f>ROUND(H198*45%+I198*10%+VLOOKUP(G198,规则与说明!$A$6:$B$11,2,FALSE)*45%,1)</f>
        <v>63.1</v>
      </c>
      <c r="P198" s="7" t="s">
        <v>91</v>
      </c>
      <c r="Q198" s="1" t="s">
        <v>38</v>
      </c>
      <c r="R198" s="1" t="s">
        <v>430</v>
      </c>
    </row>
    <row r="199" spans="1:18" ht="15" hidden="1">
      <c r="A199" s="3">
        <v>195</v>
      </c>
      <c r="B199" s="1" t="s">
        <v>457</v>
      </c>
      <c r="C199" s="1" t="s">
        <v>385</v>
      </c>
      <c r="D199" s="1" t="s">
        <v>428</v>
      </c>
      <c r="E199" s="1">
        <v>2</v>
      </c>
      <c r="F199" s="1" t="s">
        <v>458</v>
      </c>
      <c r="G199" s="4">
        <v>5</v>
      </c>
      <c r="H199" s="5">
        <v>62</v>
      </c>
      <c r="I199" s="5">
        <v>64</v>
      </c>
      <c r="J199" s="5">
        <v>47</v>
      </c>
      <c r="K199" s="5">
        <v>56</v>
      </c>
      <c r="L199" s="5">
        <v>62</v>
      </c>
      <c r="M199" s="5">
        <v>82</v>
      </c>
      <c r="N199" s="6">
        <f>ROUND(H199*35%+I199*45%+VLOOKUP(G199,规则与说明!$A$6:$B$11,2,FALSE)*20%,1)</f>
        <v>62.5</v>
      </c>
      <c r="O199" s="6">
        <f>ROUND(H199*45%+I199*10%+VLOOKUP(G199,规则与说明!$A$6:$B$11,2,FALSE)*45%,1)</f>
        <v>61.3</v>
      </c>
      <c r="P199" s="7" t="s">
        <v>91</v>
      </c>
      <c r="Q199" s="1" t="s">
        <v>38</v>
      </c>
      <c r="R199" s="1" t="s">
        <v>430</v>
      </c>
    </row>
    <row r="200" spans="1:18" ht="15" hidden="1">
      <c r="A200" s="3">
        <v>196</v>
      </c>
      <c r="B200" s="1" t="s">
        <v>459</v>
      </c>
      <c r="C200" s="1" t="s">
        <v>385</v>
      </c>
      <c r="D200" s="1" t="s">
        <v>428</v>
      </c>
      <c r="E200" s="1">
        <v>2</v>
      </c>
      <c r="F200" s="1" t="s">
        <v>460</v>
      </c>
      <c r="G200" s="4">
        <v>5</v>
      </c>
      <c r="H200" s="5">
        <v>65</v>
      </c>
      <c r="I200" s="5">
        <v>67</v>
      </c>
      <c r="J200" s="5">
        <v>49</v>
      </c>
      <c r="K200" s="5">
        <v>52</v>
      </c>
      <c r="L200" s="5">
        <v>61</v>
      </c>
      <c r="M200" s="5">
        <v>79</v>
      </c>
      <c r="N200" s="6">
        <f>ROUND(H200*35%+I200*45%+VLOOKUP(G200,规则与说明!$A$6:$B$11,2,FALSE)*20%,1)</f>
        <v>64.900000000000006</v>
      </c>
      <c r="O200" s="6">
        <f>ROUND(H200*45%+I200*10%+VLOOKUP(G200,规则与说明!$A$6:$B$11,2,FALSE)*45%,1)</f>
        <v>63</v>
      </c>
      <c r="P200" s="7" t="s">
        <v>91</v>
      </c>
      <c r="Q200" s="1" t="s">
        <v>38</v>
      </c>
      <c r="R200" s="1" t="s">
        <v>430</v>
      </c>
    </row>
    <row r="201" spans="1:18" ht="15" hidden="1">
      <c r="A201" s="3">
        <v>197</v>
      </c>
      <c r="B201" s="1" t="s">
        <v>461</v>
      </c>
      <c r="C201" s="1" t="s">
        <v>385</v>
      </c>
      <c r="D201" s="1" t="s">
        <v>428</v>
      </c>
      <c r="E201" s="1">
        <v>2</v>
      </c>
      <c r="F201" s="1" t="s">
        <v>462</v>
      </c>
      <c r="G201" s="4">
        <v>6</v>
      </c>
      <c r="H201" s="5">
        <v>53</v>
      </c>
      <c r="I201" s="5">
        <v>53</v>
      </c>
      <c r="J201" s="5">
        <v>36</v>
      </c>
      <c r="K201" s="5">
        <v>37</v>
      </c>
      <c r="L201" s="5">
        <v>55</v>
      </c>
      <c r="M201" s="5">
        <v>86</v>
      </c>
      <c r="N201" s="6">
        <f>ROUND(H201*35%+I201*45%+VLOOKUP(G201,规则与说明!$A$6:$B$11,2,FALSE)*20%,1)</f>
        <v>52.4</v>
      </c>
      <c r="O201" s="6">
        <f>ROUND(H201*45%+I201*10%+VLOOKUP(G201,规则与说明!$A$6:$B$11,2,FALSE)*45%,1)</f>
        <v>51.7</v>
      </c>
      <c r="P201" s="7" t="s">
        <v>91</v>
      </c>
      <c r="Q201" s="1" t="s">
        <v>38</v>
      </c>
      <c r="R201" s="1" t="s">
        <v>430</v>
      </c>
    </row>
    <row r="202" spans="1:18" ht="15" hidden="1">
      <c r="A202" s="3">
        <v>198</v>
      </c>
      <c r="B202" s="1" t="s">
        <v>463</v>
      </c>
      <c r="C202" s="1" t="s">
        <v>385</v>
      </c>
      <c r="D202" s="1" t="s">
        <v>428</v>
      </c>
      <c r="E202" s="1">
        <v>2</v>
      </c>
      <c r="F202" s="1" t="s">
        <v>464</v>
      </c>
      <c r="G202" s="4">
        <v>6</v>
      </c>
      <c r="H202" s="5">
        <v>53</v>
      </c>
      <c r="I202" s="5">
        <v>57</v>
      </c>
      <c r="J202" s="5">
        <v>34</v>
      </c>
      <c r="K202" s="5">
        <v>36</v>
      </c>
      <c r="L202" s="5">
        <v>58</v>
      </c>
      <c r="M202" s="5">
        <v>93</v>
      </c>
      <c r="N202" s="6">
        <f>ROUND(H202*35%+I202*45%+VLOOKUP(G202,规则与说明!$A$6:$B$11,2,FALSE)*20%,1)</f>
        <v>54.2</v>
      </c>
      <c r="O202" s="6">
        <f>ROUND(H202*45%+I202*10%+VLOOKUP(G202,规则与说明!$A$6:$B$11,2,FALSE)*45%,1)</f>
        <v>52.1</v>
      </c>
      <c r="P202" s="7" t="s">
        <v>206</v>
      </c>
      <c r="Q202" s="1" t="s">
        <v>38</v>
      </c>
      <c r="R202" s="1" t="s">
        <v>430</v>
      </c>
    </row>
    <row r="203" spans="1:18" ht="15" hidden="1">
      <c r="A203" s="3">
        <v>199</v>
      </c>
      <c r="B203" s="1" t="s">
        <v>465</v>
      </c>
      <c r="C203" s="1" t="s">
        <v>466</v>
      </c>
      <c r="D203" s="1" t="s">
        <v>467</v>
      </c>
      <c r="E203" s="1">
        <v>1</v>
      </c>
      <c r="F203" s="1" t="s">
        <v>468</v>
      </c>
      <c r="G203" s="4">
        <v>2</v>
      </c>
      <c r="H203" s="5">
        <v>90</v>
      </c>
      <c r="I203" s="5">
        <v>96</v>
      </c>
      <c r="J203" s="5">
        <v>68</v>
      </c>
      <c r="K203" s="5">
        <v>82</v>
      </c>
      <c r="L203" s="5">
        <v>78</v>
      </c>
      <c r="M203" s="5">
        <v>95</v>
      </c>
      <c r="N203" s="6">
        <f>ROUND(H203*35%+I203*45%+VLOOKUP(G203,规则与说明!$A$6:$B$11,2,FALSE)*20%,1)</f>
        <v>92.1</v>
      </c>
      <c r="O203" s="6">
        <f>ROUND(H203*45%+I203*10%+VLOOKUP(G203,规则与说明!$A$6:$B$11,2,FALSE)*45%,1)</f>
        <v>89.3</v>
      </c>
      <c r="P203" s="7" t="s">
        <v>469</v>
      </c>
      <c r="Q203" s="1" t="s">
        <v>25</v>
      </c>
      <c r="R203" s="1" t="s">
        <v>470</v>
      </c>
    </row>
    <row r="204" spans="1:18" ht="15" hidden="1">
      <c r="A204" s="3">
        <v>200</v>
      </c>
      <c r="B204" s="1" t="s">
        <v>471</v>
      </c>
      <c r="C204" s="1" t="s">
        <v>466</v>
      </c>
      <c r="D204" s="1" t="s">
        <v>467</v>
      </c>
      <c r="E204" s="1">
        <v>1</v>
      </c>
      <c r="F204" s="1" t="s">
        <v>472</v>
      </c>
      <c r="G204" s="4">
        <v>2</v>
      </c>
      <c r="H204" s="5">
        <v>89</v>
      </c>
      <c r="I204" s="5">
        <v>91</v>
      </c>
      <c r="J204" s="5">
        <v>72</v>
      </c>
      <c r="K204" s="5">
        <v>84</v>
      </c>
      <c r="L204" s="5">
        <v>81</v>
      </c>
      <c r="M204" s="5">
        <v>90</v>
      </c>
      <c r="N204" s="6">
        <f>ROUND(H204*35%+I204*45%+VLOOKUP(G204,规则与说明!$A$6:$B$11,2,FALSE)*20%,1)</f>
        <v>89.5</v>
      </c>
      <c r="O204" s="6">
        <f>ROUND(H204*45%+I204*10%+VLOOKUP(G204,规则与说明!$A$6:$B$11,2,FALSE)*45%,1)</f>
        <v>88.3</v>
      </c>
      <c r="P204" s="7" t="s">
        <v>132</v>
      </c>
      <c r="Q204" s="1" t="s">
        <v>25</v>
      </c>
      <c r="R204" s="1" t="s">
        <v>470</v>
      </c>
    </row>
    <row r="205" spans="1:18" ht="15" hidden="1">
      <c r="A205" s="3">
        <v>201</v>
      </c>
      <c r="B205" s="1" t="s">
        <v>473</v>
      </c>
      <c r="C205" s="1" t="s">
        <v>466</v>
      </c>
      <c r="D205" s="1" t="s">
        <v>467</v>
      </c>
      <c r="E205" s="1">
        <v>1</v>
      </c>
      <c r="F205" s="1" t="s">
        <v>474</v>
      </c>
      <c r="G205" s="4">
        <v>2</v>
      </c>
      <c r="H205" s="5">
        <v>90</v>
      </c>
      <c r="I205" s="5">
        <v>92</v>
      </c>
      <c r="J205" s="5">
        <v>75</v>
      </c>
      <c r="K205" s="5">
        <v>83</v>
      </c>
      <c r="L205" s="5">
        <v>78</v>
      </c>
      <c r="M205" s="5">
        <v>90</v>
      </c>
      <c r="N205" s="6">
        <f>ROUND(H205*35%+I205*45%+VLOOKUP(G205,规则与说明!$A$6:$B$11,2,FALSE)*20%,1)</f>
        <v>90.3</v>
      </c>
      <c r="O205" s="6">
        <f>ROUND(H205*45%+I205*10%+VLOOKUP(G205,规则与说明!$A$6:$B$11,2,FALSE)*45%,1)</f>
        <v>88.9</v>
      </c>
      <c r="P205" s="7" t="s">
        <v>469</v>
      </c>
      <c r="Q205" s="1" t="s">
        <v>25</v>
      </c>
      <c r="R205" s="1" t="s">
        <v>470</v>
      </c>
    </row>
    <row r="206" spans="1:18" ht="15" hidden="1">
      <c r="A206" s="3">
        <v>202</v>
      </c>
      <c r="B206" s="1" t="s">
        <v>475</v>
      </c>
      <c r="C206" s="1" t="s">
        <v>466</v>
      </c>
      <c r="D206" s="1" t="s">
        <v>467</v>
      </c>
      <c r="E206" s="1">
        <v>1</v>
      </c>
      <c r="F206" s="1" t="s">
        <v>476</v>
      </c>
      <c r="G206" s="4">
        <v>3</v>
      </c>
      <c r="H206" s="5">
        <v>83</v>
      </c>
      <c r="I206" s="5">
        <v>92</v>
      </c>
      <c r="J206" s="5">
        <v>67</v>
      </c>
      <c r="K206" s="5">
        <v>75</v>
      </c>
      <c r="L206" s="5">
        <v>76</v>
      </c>
      <c r="M206" s="5">
        <v>93</v>
      </c>
      <c r="N206" s="6">
        <f>ROUND(H206*35%+I206*45%+VLOOKUP(G206,规则与说明!$A$6:$B$11,2,FALSE)*20%,1)</f>
        <v>86.3</v>
      </c>
      <c r="O206" s="6">
        <f>ROUND(H206*45%+I206*10%+VLOOKUP(G206,规则与说明!$A$6:$B$11,2,FALSE)*45%,1)</f>
        <v>82.1</v>
      </c>
      <c r="P206" s="7" t="s">
        <v>132</v>
      </c>
      <c r="Q206" s="1" t="s">
        <v>25</v>
      </c>
      <c r="R206" s="1" t="s">
        <v>470</v>
      </c>
    </row>
    <row r="207" spans="1:18" ht="15" hidden="1">
      <c r="A207" s="3">
        <v>203</v>
      </c>
      <c r="B207" s="1" t="s">
        <v>477</v>
      </c>
      <c r="C207" s="1" t="s">
        <v>466</v>
      </c>
      <c r="D207" s="1" t="s">
        <v>467</v>
      </c>
      <c r="E207" s="1">
        <v>1</v>
      </c>
      <c r="F207" s="1" t="s">
        <v>478</v>
      </c>
      <c r="G207" s="4">
        <v>3</v>
      </c>
      <c r="H207" s="5">
        <v>83</v>
      </c>
      <c r="I207" s="5">
        <v>83</v>
      </c>
      <c r="J207" s="5">
        <v>62</v>
      </c>
      <c r="K207" s="5">
        <v>78</v>
      </c>
      <c r="L207" s="5">
        <v>74</v>
      </c>
      <c r="M207" s="5">
        <v>81</v>
      </c>
      <c r="N207" s="6">
        <f>ROUND(H207*35%+I207*45%+VLOOKUP(G207,规则与说明!$A$6:$B$11,2,FALSE)*20%,1)</f>
        <v>82.2</v>
      </c>
      <c r="O207" s="6">
        <f>ROUND(H207*45%+I207*10%+VLOOKUP(G207,规则与说明!$A$6:$B$11,2,FALSE)*45%,1)</f>
        <v>81.2</v>
      </c>
      <c r="P207" s="7" t="s">
        <v>46</v>
      </c>
      <c r="Q207" s="1" t="s">
        <v>38</v>
      </c>
      <c r="R207" s="1" t="s">
        <v>470</v>
      </c>
    </row>
    <row r="208" spans="1:18" ht="15" hidden="1">
      <c r="A208" s="3">
        <v>204</v>
      </c>
      <c r="B208" s="1" t="s">
        <v>479</v>
      </c>
      <c r="C208" s="1" t="s">
        <v>466</v>
      </c>
      <c r="D208" s="1" t="s">
        <v>467</v>
      </c>
      <c r="E208" s="1">
        <v>1</v>
      </c>
      <c r="F208" s="1" t="s">
        <v>480</v>
      </c>
      <c r="G208" s="4">
        <v>3</v>
      </c>
      <c r="H208" s="5">
        <v>82</v>
      </c>
      <c r="I208" s="5">
        <v>83</v>
      </c>
      <c r="J208" s="5">
        <v>65</v>
      </c>
      <c r="K208" s="5">
        <v>77</v>
      </c>
      <c r="L208" s="5">
        <v>74</v>
      </c>
      <c r="M208" s="5">
        <v>82</v>
      </c>
      <c r="N208" s="6">
        <f>ROUND(H208*35%+I208*45%+VLOOKUP(G208,规则与说明!$A$6:$B$11,2,FALSE)*20%,1)</f>
        <v>81.900000000000006</v>
      </c>
      <c r="O208" s="6">
        <f>ROUND(H208*45%+I208*10%+VLOOKUP(G208,规则与说明!$A$6:$B$11,2,FALSE)*45%,1)</f>
        <v>80.8</v>
      </c>
      <c r="P208" s="7" t="s">
        <v>46</v>
      </c>
      <c r="Q208" s="1" t="s">
        <v>38</v>
      </c>
      <c r="R208" s="1" t="s">
        <v>470</v>
      </c>
    </row>
    <row r="209" spans="1:18" ht="15" hidden="1">
      <c r="A209" s="3">
        <v>205</v>
      </c>
      <c r="B209" s="1" t="s">
        <v>481</v>
      </c>
      <c r="C209" s="1" t="s">
        <v>466</v>
      </c>
      <c r="D209" s="1" t="s">
        <v>467</v>
      </c>
      <c r="E209" s="1">
        <v>1</v>
      </c>
      <c r="F209" s="1" t="s">
        <v>482</v>
      </c>
      <c r="G209" s="4">
        <v>3</v>
      </c>
      <c r="H209" s="5">
        <v>81</v>
      </c>
      <c r="I209" s="5">
        <v>88</v>
      </c>
      <c r="J209" s="5">
        <v>64</v>
      </c>
      <c r="K209" s="5">
        <v>77</v>
      </c>
      <c r="L209" s="5">
        <v>75</v>
      </c>
      <c r="M209" s="5">
        <v>83</v>
      </c>
      <c r="N209" s="6">
        <f>ROUND(H209*35%+I209*45%+VLOOKUP(G209,规则与说明!$A$6:$B$11,2,FALSE)*20%,1)</f>
        <v>83.8</v>
      </c>
      <c r="O209" s="6">
        <f>ROUND(H209*45%+I209*10%+VLOOKUP(G209,规则与说明!$A$6:$B$11,2,FALSE)*45%,1)</f>
        <v>80.8</v>
      </c>
      <c r="P209" s="7" t="s">
        <v>46</v>
      </c>
      <c r="Q209" s="1" t="s">
        <v>38</v>
      </c>
      <c r="R209" s="1" t="s">
        <v>470</v>
      </c>
    </row>
    <row r="210" spans="1:18" ht="15" hidden="1">
      <c r="A210" s="3">
        <v>206</v>
      </c>
      <c r="B210" s="1" t="s">
        <v>483</v>
      </c>
      <c r="C210" s="1" t="s">
        <v>466</v>
      </c>
      <c r="D210" s="1" t="s">
        <v>467</v>
      </c>
      <c r="E210" s="1">
        <v>1</v>
      </c>
      <c r="F210" s="1" t="s">
        <v>484</v>
      </c>
      <c r="G210" s="4">
        <v>5</v>
      </c>
      <c r="H210" s="5">
        <v>66</v>
      </c>
      <c r="I210" s="5">
        <v>66</v>
      </c>
      <c r="J210" s="5">
        <v>46</v>
      </c>
      <c r="K210" s="5">
        <v>57</v>
      </c>
      <c r="L210" s="5">
        <v>63</v>
      </c>
      <c r="M210" s="5">
        <v>86</v>
      </c>
      <c r="N210" s="6">
        <f>ROUND(H210*35%+I210*45%+VLOOKUP(G210,规则与说明!$A$6:$B$11,2,FALSE)*20%,1)</f>
        <v>64.8</v>
      </c>
      <c r="O210" s="6">
        <f>ROUND(H210*45%+I210*10%+VLOOKUP(G210,规则与说明!$A$6:$B$11,2,FALSE)*45%,1)</f>
        <v>63.3</v>
      </c>
      <c r="P210" s="7" t="s">
        <v>46</v>
      </c>
      <c r="Q210" s="1" t="s">
        <v>38</v>
      </c>
      <c r="R210" s="1" t="s">
        <v>470</v>
      </c>
    </row>
    <row r="211" spans="1:18" ht="15" hidden="1">
      <c r="A211" s="3">
        <v>207</v>
      </c>
      <c r="B211" s="1" t="s">
        <v>485</v>
      </c>
      <c r="C211" s="1" t="s">
        <v>466</v>
      </c>
      <c r="D211" s="1" t="s">
        <v>467</v>
      </c>
      <c r="E211" s="1">
        <v>1</v>
      </c>
      <c r="F211" s="1" t="s">
        <v>486</v>
      </c>
      <c r="G211" s="4">
        <v>5</v>
      </c>
      <c r="H211" s="5">
        <v>63</v>
      </c>
      <c r="I211" s="5">
        <v>67</v>
      </c>
      <c r="J211" s="5">
        <v>40</v>
      </c>
      <c r="K211" s="5">
        <v>56</v>
      </c>
      <c r="L211" s="5">
        <v>62</v>
      </c>
      <c r="M211" s="5">
        <v>85</v>
      </c>
      <c r="N211" s="6">
        <f>ROUND(H211*35%+I211*45%+VLOOKUP(G211,规则与说明!$A$6:$B$11,2,FALSE)*20%,1)</f>
        <v>64.2</v>
      </c>
      <c r="O211" s="6">
        <f>ROUND(H211*45%+I211*10%+VLOOKUP(G211,规则与说明!$A$6:$B$11,2,FALSE)*45%,1)</f>
        <v>62.1</v>
      </c>
      <c r="P211" s="7" t="s">
        <v>91</v>
      </c>
      <c r="Q211" s="1" t="s">
        <v>38</v>
      </c>
      <c r="R211" s="1" t="s">
        <v>470</v>
      </c>
    </row>
    <row r="212" spans="1:18" ht="15" hidden="1">
      <c r="A212" s="3">
        <v>208</v>
      </c>
      <c r="B212" s="1" t="s">
        <v>487</v>
      </c>
      <c r="C212" s="1" t="s">
        <v>466</v>
      </c>
      <c r="D212" s="1" t="s">
        <v>467</v>
      </c>
      <c r="E212" s="1">
        <v>1</v>
      </c>
      <c r="F212" s="1" t="s">
        <v>488</v>
      </c>
      <c r="G212" s="4">
        <v>5</v>
      </c>
      <c r="H212" s="5">
        <v>64</v>
      </c>
      <c r="I212" s="5">
        <v>65</v>
      </c>
      <c r="J212" s="5">
        <v>42</v>
      </c>
      <c r="K212" s="5">
        <v>53</v>
      </c>
      <c r="L212" s="5">
        <v>64</v>
      </c>
      <c r="M212" s="5">
        <v>89</v>
      </c>
      <c r="N212" s="6">
        <f>ROUND(H212*35%+I212*45%+VLOOKUP(G212,规则与说明!$A$6:$B$11,2,FALSE)*20%,1)</f>
        <v>63.7</v>
      </c>
      <c r="O212" s="6">
        <f>ROUND(H212*45%+I212*10%+VLOOKUP(G212,规则与说明!$A$6:$B$11,2,FALSE)*45%,1)</f>
        <v>62.3</v>
      </c>
      <c r="P212" s="7" t="s">
        <v>410</v>
      </c>
      <c r="Q212" s="1" t="s">
        <v>38</v>
      </c>
      <c r="R212" s="1" t="s">
        <v>470</v>
      </c>
    </row>
    <row r="213" spans="1:18" ht="15" hidden="1">
      <c r="A213" s="3">
        <v>209</v>
      </c>
      <c r="B213" s="1" t="s">
        <v>489</v>
      </c>
      <c r="C213" s="1" t="s">
        <v>466</v>
      </c>
      <c r="D213" s="1" t="s">
        <v>467</v>
      </c>
      <c r="E213" s="1">
        <v>1</v>
      </c>
      <c r="F213" s="1" t="s">
        <v>490</v>
      </c>
      <c r="G213" s="4">
        <v>5</v>
      </c>
      <c r="H213" s="5">
        <v>65</v>
      </c>
      <c r="I213" s="5">
        <v>67</v>
      </c>
      <c r="J213" s="5">
        <v>44</v>
      </c>
      <c r="K213" s="5">
        <v>55</v>
      </c>
      <c r="L213" s="5">
        <v>61</v>
      </c>
      <c r="M213" s="5">
        <v>88</v>
      </c>
      <c r="N213" s="6">
        <f>ROUND(H213*35%+I213*45%+VLOOKUP(G213,规则与说明!$A$6:$B$11,2,FALSE)*20%,1)</f>
        <v>64.900000000000006</v>
      </c>
      <c r="O213" s="6">
        <f>ROUND(H213*45%+I213*10%+VLOOKUP(G213,规则与说明!$A$6:$B$11,2,FALSE)*45%,1)</f>
        <v>63</v>
      </c>
      <c r="P213" s="7" t="s">
        <v>206</v>
      </c>
      <c r="Q213" s="1" t="s">
        <v>38</v>
      </c>
      <c r="R213" s="1" t="s">
        <v>470</v>
      </c>
    </row>
    <row r="214" spans="1:18" ht="15" hidden="1">
      <c r="A214" s="3">
        <v>210</v>
      </c>
      <c r="B214" s="1" t="s">
        <v>491</v>
      </c>
      <c r="C214" s="1" t="s">
        <v>466</v>
      </c>
      <c r="D214" s="1" t="s">
        <v>467</v>
      </c>
      <c r="E214" s="1">
        <v>1</v>
      </c>
      <c r="F214" s="1" t="s">
        <v>492</v>
      </c>
      <c r="G214" s="4">
        <v>5</v>
      </c>
      <c r="H214" s="5">
        <v>63</v>
      </c>
      <c r="I214" s="5">
        <v>72</v>
      </c>
      <c r="J214" s="5">
        <v>46</v>
      </c>
      <c r="K214" s="5">
        <v>55</v>
      </c>
      <c r="L214" s="5">
        <v>64</v>
      </c>
      <c r="M214" s="5">
        <v>83</v>
      </c>
      <c r="N214" s="6">
        <f>ROUND(H214*35%+I214*45%+VLOOKUP(G214,规则与说明!$A$6:$B$11,2,FALSE)*20%,1)</f>
        <v>66.5</v>
      </c>
      <c r="O214" s="6">
        <f>ROUND(H214*45%+I214*10%+VLOOKUP(G214,规则与说明!$A$6:$B$11,2,FALSE)*45%,1)</f>
        <v>62.6</v>
      </c>
      <c r="P214" s="7" t="s">
        <v>46</v>
      </c>
      <c r="Q214" s="1" t="s">
        <v>38</v>
      </c>
      <c r="R214" s="1" t="s">
        <v>470</v>
      </c>
    </row>
    <row r="215" spans="1:18" ht="15" hidden="1">
      <c r="A215" s="3">
        <v>211</v>
      </c>
      <c r="B215" s="1" t="s">
        <v>493</v>
      </c>
      <c r="C215" s="1" t="s">
        <v>466</v>
      </c>
      <c r="D215" s="1" t="s">
        <v>467</v>
      </c>
      <c r="E215" s="1">
        <v>1</v>
      </c>
      <c r="F215" s="1" t="s">
        <v>494</v>
      </c>
      <c r="G215" s="4">
        <v>5</v>
      </c>
      <c r="H215" s="5">
        <v>62</v>
      </c>
      <c r="I215" s="5">
        <v>70</v>
      </c>
      <c r="J215" s="5">
        <v>44</v>
      </c>
      <c r="K215" s="5">
        <v>57</v>
      </c>
      <c r="L215" s="5">
        <v>62</v>
      </c>
      <c r="M215" s="5">
        <v>82</v>
      </c>
      <c r="N215" s="6">
        <f>ROUND(H215*35%+I215*45%+VLOOKUP(G215,规则与说明!$A$6:$B$11,2,FALSE)*20%,1)</f>
        <v>65.2</v>
      </c>
      <c r="O215" s="6">
        <f>ROUND(H215*45%+I215*10%+VLOOKUP(G215,规则与说明!$A$6:$B$11,2,FALSE)*45%,1)</f>
        <v>61.9</v>
      </c>
      <c r="P215" s="7" t="s">
        <v>91</v>
      </c>
      <c r="Q215" s="1" t="s">
        <v>38</v>
      </c>
      <c r="R215" s="1" t="s">
        <v>470</v>
      </c>
    </row>
    <row r="216" spans="1:18" ht="15" hidden="1">
      <c r="A216" s="3">
        <v>212</v>
      </c>
      <c r="B216" s="1" t="s">
        <v>495</v>
      </c>
      <c r="C216" s="1" t="s">
        <v>466</v>
      </c>
      <c r="D216" s="1" t="s">
        <v>467</v>
      </c>
      <c r="E216" s="1">
        <v>1</v>
      </c>
      <c r="F216" s="1" t="s">
        <v>496</v>
      </c>
      <c r="G216" s="4">
        <v>5</v>
      </c>
      <c r="H216" s="5">
        <v>65</v>
      </c>
      <c r="I216" s="5">
        <v>65</v>
      </c>
      <c r="J216" s="5">
        <v>42</v>
      </c>
      <c r="K216" s="5">
        <v>52</v>
      </c>
      <c r="L216" s="5">
        <v>60</v>
      </c>
      <c r="M216" s="5">
        <v>87</v>
      </c>
      <c r="N216" s="6">
        <f>ROUND(H216*35%+I216*45%+VLOOKUP(G216,规则与说明!$A$6:$B$11,2,FALSE)*20%,1)</f>
        <v>64</v>
      </c>
      <c r="O216" s="6">
        <f>ROUND(H216*45%+I216*10%+VLOOKUP(G216,规则与说明!$A$6:$B$11,2,FALSE)*45%,1)</f>
        <v>62.8</v>
      </c>
      <c r="P216" s="7" t="s">
        <v>91</v>
      </c>
      <c r="Q216" s="1" t="s">
        <v>38</v>
      </c>
      <c r="R216" s="1" t="s">
        <v>470</v>
      </c>
    </row>
    <row r="217" spans="1:18" ht="15" hidden="1">
      <c r="A217" s="3">
        <v>213</v>
      </c>
      <c r="B217" s="1" t="s">
        <v>497</v>
      </c>
      <c r="C217" s="1" t="s">
        <v>466</v>
      </c>
      <c r="D217" s="1" t="s">
        <v>467</v>
      </c>
      <c r="E217" s="1">
        <v>1</v>
      </c>
      <c r="F217" s="1" t="s">
        <v>498</v>
      </c>
      <c r="G217" s="4">
        <v>5</v>
      </c>
      <c r="H217" s="5">
        <v>66</v>
      </c>
      <c r="I217" s="5">
        <v>65</v>
      </c>
      <c r="J217" s="5">
        <v>41</v>
      </c>
      <c r="K217" s="5">
        <v>53</v>
      </c>
      <c r="L217" s="5">
        <v>61</v>
      </c>
      <c r="M217" s="5">
        <v>88</v>
      </c>
      <c r="N217" s="6">
        <f>ROUND(H217*35%+I217*45%+VLOOKUP(G217,规则与说明!$A$6:$B$11,2,FALSE)*20%,1)</f>
        <v>64.400000000000006</v>
      </c>
      <c r="O217" s="6">
        <f>ROUND(H217*45%+I217*10%+VLOOKUP(G217,规则与说明!$A$6:$B$11,2,FALSE)*45%,1)</f>
        <v>63.2</v>
      </c>
      <c r="P217" s="7" t="s">
        <v>206</v>
      </c>
      <c r="Q217" s="1" t="s">
        <v>38</v>
      </c>
      <c r="R217" s="1" t="s">
        <v>470</v>
      </c>
    </row>
    <row r="218" spans="1:18" ht="15" hidden="1">
      <c r="A218" s="3">
        <v>214</v>
      </c>
      <c r="B218" s="1" t="s">
        <v>499</v>
      </c>
      <c r="C218" s="1" t="s">
        <v>466</v>
      </c>
      <c r="D218" s="1" t="s">
        <v>467</v>
      </c>
      <c r="E218" s="1">
        <v>1</v>
      </c>
      <c r="F218" s="1" t="s">
        <v>500</v>
      </c>
      <c r="G218" s="4">
        <v>5</v>
      </c>
      <c r="H218" s="5">
        <v>64</v>
      </c>
      <c r="I218" s="5">
        <v>64</v>
      </c>
      <c r="J218" s="5">
        <v>43</v>
      </c>
      <c r="K218" s="5">
        <v>52</v>
      </c>
      <c r="L218" s="5">
        <v>61</v>
      </c>
      <c r="M218" s="5">
        <v>86</v>
      </c>
      <c r="N218" s="6">
        <f>ROUND(H218*35%+I218*45%+VLOOKUP(G218,规则与说明!$A$6:$B$11,2,FALSE)*20%,1)</f>
        <v>63.2</v>
      </c>
      <c r="O218" s="6">
        <f>ROUND(H218*45%+I218*10%+VLOOKUP(G218,规则与说明!$A$6:$B$11,2,FALSE)*45%,1)</f>
        <v>62.2</v>
      </c>
      <c r="P218" s="7" t="s">
        <v>91</v>
      </c>
      <c r="Q218" s="1" t="s">
        <v>38</v>
      </c>
      <c r="R218" s="1" t="s">
        <v>470</v>
      </c>
    </row>
    <row r="219" spans="1:18" ht="15" hidden="1">
      <c r="A219" s="3">
        <v>215</v>
      </c>
      <c r="B219" s="1" t="s">
        <v>501</v>
      </c>
      <c r="C219" s="1" t="s">
        <v>466</v>
      </c>
      <c r="D219" s="1" t="s">
        <v>467</v>
      </c>
      <c r="E219" s="1">
        <v>1</v>
      </c>
      <c r="F219" s="1" t="s">
        <v>502</v>
      </c>
      <c r="G219" s="4">
        <v>5</v>
      </c>
      <c r="H219" s="5">
        <v>66</v>
      </c>
      <c r="I219" s="5">
        <v>71</v>
      </c>
      <c r="J219" s="5">
        <v>41</v>
      </c>
      <c r="K219" s="5">
        <v>52</v>
      </c>
      <c r="L219" s="5">
        <v>61</v>
      </c>
      <c r="M219" s="5">
        <v>90</v>
      </c>
      <c r="N219" s="6">
        <f>ROUND(H219*35%+I219*45%+VLOOKUP(G219,规则与说明!$A$6:$B$11,2,FALSE)*20%,1)</f>
        <v>67.099999999999994</v>
      </c>
      <c r="O219" s="6">
        <f>ROUND(H219*45%+I219*10%+VLOOKUP(G219,规则与说明!$A$6:$B$11,2,FALSE)*45%,1)</f>
        <v>63.8</v>
      </c>
      <c r="P219" s="7" t="s">
        <v>206</v>
      </c>
      <c r="Q219" s="1" t="s">
        <v>38</v>
      </c>
      <c r="R219" s="1" t="s">
        <v>470</v>
      </c>
    </row>
    <row r="220" spans="1:18" ht="15" hidden="1">
      <c r="A220" s="3">
        <v>216</v>
      </c>
      <c r="B220" s="1" t="s">
        <v>503</v>
      </c>
      <c r="C220" s="1" t="s">
        <v>466</v>
      </c>
      <c r="D220" s="1" t="s">
        <v>467</v>
      </c>
      <c r="E220" s="1">
        <v>1</v>
      </c>
      <c r="F220" s="1" t="s">
        <v>504</v>
      </c>
      <c r="G220" s="4">
        <v>5</v>
      </c>
      <c r="H220" s="5">
        <v>66</v>
      </c>
      <c r="I220" s="5">
        <v>68</v>
      </c>
      <c r="J220" s="5">
        <v>43</v>
      </c>
      <c r="K220" s="5">
        <v>55</v>
      </c>
      <c r="L220" s="5">
        <v>61</v>
      </c>
      <c r="M220" s="5">
        <v>88</v>
      </c>
      <c r="N220" s="6">
        <f>ROUND(H220*35%+I220*45%+VLOOKUP(G220,规则与说明!$A$6:$B$11,2,FALSE)*20%,1)</f>
        <v>65.7</v>
      </c>
      <c r="O220" s="6">
        <f>ROUND(H220*45%+I220*10%+VLOOKUP(G220,规则与说明!$A$6:$B$11,2,FALSE)*45%,1)</f>
        <v>63.5</v>
      </c>
      <c r="P220" s="7" t="s">
        <v>206</v>
      </c>
      <c r="Q220" s="1" t="s">
        <v>38</v>
      </c>
      <c r="R220" s="1" t="s">
        <v>470</v>
      </c>
    </row>
    <row r="221" spans="1:18" ht="15" hidden="1">
      <c r="A221" s="3">
        <v>217</v>
      </c>
      <c r="B221" s="1" t="s">
        <v>505</v>
      </c>
      <c r="C221" s="1" t="s">
        <v>506</v>
      </c>
      <c r="D221" s="1" t="s">
        <v>507</v>
      </c>
      <c r="E221" s="1">
        <v>1</v>
      </c>
      <c r="F221" s="1" t="s">
        <v>508</v>
      </c>
      <c r="G221" s="4">
        <v>2</v>
      </c>
      <c r="H221" s="5">
        <v>89</v>
      </c>
      <c r="I221" s="5">
        <v>96</v>
      </c>
      <c r="J221" s="5">
        <v>72</v>
      </c>
      <c r="K221" s="5">
        <v>87</v>
      </c>
      <c r="L221" s="5">
        <v>77</v>
      </c>
      <c r="M221" s="5">
        <v>94</v>
      </c>
      <c r="N221" s="6">
        <f>ROUND(H221*35%+I221*45%+VLOOKUP(G221,规则与说明!$A$6:$B$11,2,FALSE)*20%,1)</f>
        <v>91.8</v>
      </c>
      <c r="O221" s="6">
        <f>ROUND(H221*45%+I221*10%+VLOOKUP(G221,规则与说明!$A$6:$B$11,2,FALSE)*45%,1)</f>
        <v>88.8</v>
      </c>
      <c r="P221" s="7" t="s">
        <v>132</v>
      </c>
      <c r="Q221" s="1" t="s">
        <v>25</v>
      </c>
      <c r="R221" s="1" t="s">
        <v>509</v>
      </c>
    </row>
    <row r="222" spans="1:18" ht="15" hidden="1">
      <c r="A222" s="3">
        <v>218</v>
      </c>
      <c r="B222" s="1" t="s">
        <v>510</v>
      </c>
      <c r="C222" s="1" t="s">
        <v>506</v>
      </c>
      <c r="D222" s="1" t="s">
        <v>507</v>
      </c>
      <c r="E222" s="1">
        <v>1</v>
      </c>
      <c r="F222" s="1" t="s">
        <v>511</v>
      </c>
      <c r="G222" s="4">
        <v>2</v>
      </c>
      <c r="H222" s="5">
        <v>89</v>
      </c>
      <c r="I222" s="5">
        <v>92</v>
      </c>
      <c r="J222" s="5">
        <v>74</v>
      </c>
      <c r="K222" s="5">
        <v>86</v>
      </c>
      <c r="L222" s="5">
        <v>77</v>
      </c>
      <c r="M222" s="5">
        <v>87</v>
      </c>
      <c r="N222" s="6">
        <f>ROUND(H222*35%+I222*45%+VLOOKUP(G222,规则与说明!$A$6:$B$11,2,FALSE)*20%,1)</f>
        <v>90</v>
      </c>
      <c r="O222" s="6">
        <f>ROUND(H222*45%+I222*10%+VLOOKUP(G222,规则与说明!$A$6:$B$11,2,FALSE)*45%,1)</f>
        <v>88.4</v>
      </c>
      <c r="P222" s="7" t="s">
        <v>403</v>
      </c>
      <c r="Q222" s="1" t="s">
        <v>25</v>
      </c>
      <c r="R222" s="1" t="s">
        <v>509</v>
      </c>
    </row>
    <row r="223" spans="1:18" ht="15" hidden="1">
      <c r="A223" s="3">
        <v>219</v>
      </c>
      <c r="B223" s="1" t="s">
        <v>512</v>
      </c>
      <c r="C223" s="1" t="s">
        <v>506</v>
      </c>
      <c r="D223" s="1" t="s">
        <v>507</v>
      </c>
      <c r="E223" s="1">
        <v>1</v>
      </c>
      <c r="F223" s="1" t="s">
        <v>513</v>
      </c>
      <c r="G223" s="4">
        <v>2</v>
      </c>
      <c r="H223" s="5">
        <v>86</v>
      </c>
      <c r="I223" s="5">
        <v>97</v>
      </c>
      <c r="J223" s="5">
        <v>73</v>
      </c>
      <c r="K223" s="5">
        <v>82</v>
      </c>
      <c r="L223" s="5">
        <v>81</v>
      </c>
      <c r="M223" s="5">
        <v>95</v>
      </c>
      <c r="N223" s="6">
        <f>ROUND(H223*35%+I223*45%+VLOOKUP(G223,规则与说明!$A$6:$B$11,2,FALSE)*20%,1)</f>
        <v>91.2</v>
      </c>
      <c r="O223" s="6">
        <f>ROUND(H223*45%+I223*10%+VLOOKUP(G223,规则与说明!$A$6:$B$11,2,FALSE)*45%,1)</f>
        <v>87.6</v>
      </c>
      <c r="P223" s="7" t="s">
        <v>132</v>
      </c>
      <c r="Q223" s="1" t="s">
        <v>25</v>
      </c>
      <c r="R223" s="1" t="s">
        <v>509</v>
      </c>
    </row>
    <row r="224" spans="1:18" ht="15" hidden="1">
      <c r="A224" s="3">
        <v>220</v>
      </c>
      <c r="B224" s="1" t="s">
        <v>514</v>
      </c>
      <c r="C224" s="1" t="s">
        <v>506</v>
      </c>
      <c r="D224" s="1" t="s">
        <v>507</v>
      </c>
      <c r="E224" s="1">
        <v>1</v>
      </c>
      <c r="F224" s="1" t="s">
        <v>515</v>
      </c>
      <c r="G224" s="4">
        <v>3</v>
      </c>
      <c r="H224" s="5">
        <v>81</v>
      </c>
      <c r="I224" s="5">
        <v>82</v>
      </c>
      <c r="J224" s="5">
        <v>61</v>
      </c>
      <c r="K224" s="5">
        <v>77</v>
      </c>
      <c r="L224" s="5">
        <v>76</v>
      </c>
      <c r="M224" s="5">
        <v>77</v>
      </c>
      <c r="N224" s="6">
        <f>ROUND(H224*35%+I224*45%+VLOOKUP(G224,规则与说明!$A$6:$B$11,2,FALSE)*20%,1)</f>
        <v>81.099999999999994</v>
      </c>
      <c r="O224" s="6">
        <f>ROUND(H224*45%+I224*10%+VLOOKUP(G224,规则与说明!$A$6:$B$11,2,FALSE)*45%,1)</f>
        <v>80.2</v>
      </c>
      <c r="P224" s="7" t="s">
        <v>46</v>
      </c>
      <c r="Q224" s="1" t="s">
        <v>38</v>
      </c>
      <c r="R224" s="1" t="s">
        <v>509</v>
      </c>
    </row>
    <row r="225" spans="1:18" ht="15" hidden="1">
      <c r="A225" s="3">
        <v>221</v>
      </c>
      <c r="B225" s="1" t="s">
        <v>516</v>
      </c>
      <c r="C225" s="1" t="s">
        <v>506</v>
      </c>
      <c r="D225" s="1" t="s">
        <v>507</v>
      </c>
      <c r="E225" s="1">
        <v>1</v>
      </c>
      <c r="F225" s="1" t="s">
        <v>517</v>
      </c>
      <c r="G225" s="4">
        <v>3</v>
      </c>
      <c r="H225" s="5">
        <v>80</v>
      </c>
      <c r="I225" s="5">
        <v>89</v>
      </c>
      <c r="J225" s="5">
        <v>67</v>
      </c>
      <c r="K225" s="5">
        <v>74</v>
      </c>
      <c r="L225" s="5">
        <v>75</v>
      </c>
      <c r="M225" s="5">
        <v>80</v>
      </c>
      <c r="N225" s="6">
        <f>ROUND(H225*35%+I225*45%+VLOOKUP(G225,规则与说明!$A$6:$B$11,2,FALSE)*20%,1)</f>
        <v>83.9</v>
      </c>
      <c r="O225" s="6">
        <f>ROUND(H225*45%+I225*10%+VLOOKUP(G225,规则与说明!$A$6:$B$11,2,FALSE)*45%,1)</f>
        <v>80.5</v>
      </c>
      <c r="P225" s="7" t="s">
        <v>46</v>
      </c>
      <c r="Q225" s="1" t="s">
        <v>38</v>
      </c>
      <c r="R225" s="1" t="s">
        <v>509</v>
      </c>
    </row>
    <row r="226" spans="1:18" ht="15" hidden="1">
      <c r="A226" s="3">
        <v>222</v>
      </c>
      <c r="B226" s="1" t="s">
        <v>518</v>
      </c>
      <c r="C226" s="1" t="s">
        <v>506</v>
      </c>
      <c r="D226" s="1" t="s">
        <v>507</v>
      </c>
      <c r="E226" s="1">
        <v>1</v>
      </c>
      <c r="F226" s="1" t="s">
        <v>519</v>
      </c>
      <c r="G226" s="4">
        <v>3</v>
      </c>
      <c r="H226" s="5">
        <v>79</v>
      </c>
      <c r="I226" s="5">
        <v>87</v>
      </c>
      <c r="J226" s="5">
        <v>67</v>
      </c>
      <c r="K226" s="5">
        <v>80</v>
      </c>
      <c r="L226" s="5">
        <v>77</v>
      </c>
      <c r="M226" s="5">
        <v>76</v>
      </c>
      <c r="N226" s="6">
        <f>ROUND(H226*35%+I226*45%+VLOOKUP(G226,规则与说明!$A$6:$B$11,2,FALSE)*20%,1)</f>
        <v>82.6</v>
      </c>
      <c r="O226" s="6">
        <f>ROUND(H226*45%+I226*10%+VLOOKUP(G226,规则与说明!$A$6:$B$11,2,FALSE)*45%,1)</f>
        <v>79.8</v>
      </c>
      <c r="P226" s="7" t="s">
        <v>46</v>
      </c>
      <c r="Q226" s="1" t="s">
        <v>38</v>
      </c>
      <c r="R226" s="1" t="s">
        <v>509</v>
      </c>
    </row>
    <row r="227" spans="1:18" ht="15" hidden="1">
      <c r="A227" s="3">
        <v>223</v>
      </c>
      <c r="B227" s="1" t="s">
        <v>520</v>
      </c>
      <c r="C227" s="1" t="s">
        <v>506</v>
      </c>
      <c r="D227" s="1" t="s">
        <v>507</v>
      </c>
      <c r="E227" s="1">
        <v>1</v>
      </c>
      <c r="F227" s="1" t="s">
        <v>521</v>
      </c>
      <c r="G227" s="4">
        <v>5</v>
      </c>
      <c r="H227" s="5">
        <v>62</v>
      </c>
      <c r="I227" s="5">
        <v>66</v>
      </c>
      <c r="J227" s="5">
        <v>43</v>
      </c>
      <c r="K227" s="5">
        <v>55</v>
      </c>
      <c r="L227" s="5">
        <v>60</v>
      </c>
      <c r="M227" s="5">
        <v>81</v>
      </c>
      <c r="N227" s="6">
        <f>ROUND(H227*35%+I227*45%+VLOOKUP(G227,规则与说明!$A$6:$B$11,2,FALSE)*20%,1)</f>
        <v>63.4</v>
      </c>
      <c r="O227" s="6">
        <f>ROUND(H227*45%+I227*10%+VLOOKUP(G227,规则与说明!$A$6:$B$11,2,FALSE)*45%,1)</f>
        <v>61.5</v>
      </c>
      <c r="P227" s="7" t="s">
        <v>91</v>
      </c>
      <c r="Q227" s="1" t="s">
        <v>38</v>
      </c>
      <c r="R227" s="1" t="s">
        <v>509</v>
      </c>
    </row>
    <row r="228" spans="1:18" ht="15" hidden="1">
      <c r="A228" s="3">
        <v>224</v>
      </c>
      <c r="B228" s="1" t="s">
        <v>522</v>
      </c>
      <c r="C228" s="1" t="s">
        <v>506</v>
      </c>
      <c r="D228" s="1" t="s">
        <v>507</v>
      </c>
      <c r="E228" s="1">
        <v>1</v>
      </c>
      <c r="F228" s="1" t="s">
        <v>523</v>
      </c>
      <c r="G228" s="4">
        <v>5</v>
      </c>
      <c r="H228" s="5">
        <v>64</v>
      </c>
      <c r="I228" s="5">
        <v>70</v>
      </c>
      <c r="J228" s="5">
        <v>43</v>
      </c>
      <c r="K228" s="5">
        <v>55</v>
      </c>
      <c r="L228" s="5">
        <v>64</v>
      </c>
      <c r="M228" s="5">
        <v>89</v>
      </c>
      <c r="N228" s="6">
        <f>ROUND(H228*35%+I228*45%+VLOOKUP(G228,规则与说明!$A$6:$B$11,2,FALSE)*20%,1)</f>
        <v>65.900000000000006</v>
      </c>
      <c r="O228" s="6">
        <f>ROUND(H228*45%+I228*10%+VLOOKUP(G228,规则与说明!$A$6:$B$11,2,FALSE)*45%,1)</f>
        <v>62.8</v>
      </c>
      <c r="P228" s="7" t="s">
        <v>410</v>
      </c>
      <c r="Q228" s="1" t="s">
        <v>38</v>
      </c>
      <c r="R228" s="1" t="s">
        <v>509</v>
      </c>
    </row>
    <row r="229" spans="1:18" ht="15" hidden="1">
      <c r="A229" s="3">
        <v>225</v>
      </c>
      <c r="B229" s="1" t="s">
        <v>524</v>
      </c>
      <c r="C229" s="1" t="s">
        <v>506</v>
      </c>
      <c r="D229" s="1" t="s">
        <v>507</v>
      </c>
      <c r="E229" s="1">
        <v>1</v>
      </c>
      <c r="F229" s="1" t="s">
        <v>525</v>
      </c>
      <c r="G229" s="4">
        <v>5</v>
      </c>
      <c r="H229" s="5">
        <v>64</v>
      </c>
      <c r="I229" s="5">
        <v>64</v>
      </c>
      <c r="J229" s="5">
        <v>45</v>
      </c>
      <c r="K229" s="5">
        <v>55</v>
      </c>
      <c r="L229" s="5">
        <v>62</v>
      </c>
      <c r="M229" s="5">
        <v>89</v>
      </c>
      <c r="N229" s="6">
        <f>ROUND(H229*35%+I229*45%+VLOOKUP(G229,规则与说明!$A$6:$B$11,2,FALSE)*20%,1)</f>
        <v>63.2</v>
      </c>
      <c r="O229" s="6">
        <f>ROUND(H229*45%+I229*10%+VLOOKUP(G229,规则与说明!$A$6:$B$11,2,FALSE)*45%,1)</f>
        <v>62.2</v>
      </c>
      <c r="P229" s="7" t="s">
        <v>206</v>
      </c>
      <c r="Q229" s="1" t="s">
        <v>38</v>
      </c>
      <c r="R229" s="1" t="s">
        <v>509</v>
      </c>
    </row>
    <row r="230" spans="1:18" ht="15" hidden="1">
      <c r="A230" s="3">
        <v>226</v>
      </c>
      <c r="B230" s="1" t="s">
        <v>526</v>
      </c>
      <c r="C230" s="1" t="s">
        <v>506</v>
      </c>
      <c r="D230" s="1" t="s">
        <v>507</v>
      </c>
      <c r="E230" s="1">
        <v>1</v>
      </c>
      <c r="F230" s="1" t="s">
        <v>527</v>
      </c>
      <c r="G230" s="4">
        <v>5</v>
      </c>
      <c r="H230" s="5">
        <v>61</v>
      </c>
      <c r="I230" s="5">
        <v>72</v>
      </c>
      <c r="J230" s="5">
        <v>45</v>
      </c>
      <c r="K230" s="5">
        <v>57</v>
      </c>
      <c r="L230" s="5">
        <v>63</v>
      </c>
      <c r="M230" s="5">
        <v>87</v>
      </c>
      <c r="N230" s="6">
        <f>ROUND(H230*35%+I230*45%+VLOOKUP(G230,规则与说明!$A$6:$B$11,2,FALSE)*20%,1)</f>
        <v>65.8</v>
      </c>
      <c r="O230" s="6">
        <f>ROUND(H230*45%+I230*10%+VLOOKUP(G230,规则与说明!$A$6:$B$11,2,FALSE)*45%,1)</f>
        <v>61.7</v>
      </c>
      <c r="P230" s="7" t="s">
        <v>46</v>
      </c>
      <c r="Q230" s="1" t="s">
        <v>38</v>
      </c>
      <c r="R230" s="1" t="s">
        <v>509</v>
      </c>
    </row>
    <row r="231" spans="1:18" ht="15" hidden="1">
      <c r="A231" s="3">
        <v>227</v>
      </c>
      <c r="B231" s="1" t="s">
        <v>528</v>
      </c>
      <c r="C231" s="1" t="s">
        <v>506</v>
      </c>
      <c r="D231" s="1" t="s">
        <v>507</v>
      </c>
      <c r="E231" s="1">
        <v>1</v>
      </c>
      <c r="F231" s="1" t="s">
        <v>529</v>
      </c>
      <c r="G231" s="4">
        <v>5</v>
      </c>
      <c r="H231" s="5">
        <v>61</v>
      </c>
      <c r="I231" s="5">
        <v>72</v>
      </c>
      <c r="J231" s="5">
        <v>42</v>
      </c>
      <c r="K231" s="5">
        <v>51</v>
      </c>
      <c r="L231" s="5">
        <v>61</v>
      </c>
      <c r="M231" s="5">
        <v>86</v>
      </c>
      <c r="N231" s="6">
        <f>ROUND(H231*35%+I231*45%+VLOOKUP(G231,规则与说明!$A$6:$B$11,2,FALSE)*20%,1)</f>
        <v>65.8</v>
      </c>
      <c r="O231" s="6">
        <f>ROUND(H231*45%+I231*10%+VLOOKUP(G231,规则与说明!$A$6:$B$11,2,FALSE)*45%,1)</f>
        <v>61.7</v>
      </c>
      <c r="P231" s="7" t="s">
        <v>91</v>
      </c>
      <c r="Q231" s="1" t="s">
        <v>38</v>
      </c>
      <c r="R231" s="1" t="s">
        <v>509</v>
      </c>
    </row>
    <row r="232" spans="1:18" ht="15" hidden="1">
      <c r="A232" s="3">
        <v>228</v>
      </c>
      <c r="B232" s="1" t="s">
        <v>530</v>
      </c>
      <c r="C232" s="1" t="s">
        <v>506</v>
      </c>
      <c r="D232" s="1" t="s">
        <v>507</v>
      </c>
      <c r="E232" s="1">
        <v>1</v>
      </c>
      <c r="F232" s="1" t="s">
        <v>531</v>
      </c>
      <c r="G232" s="4">
        <v>5</v>
      </c>
      <c r="H232" s="5">
        <v>64</v>
      </c>
      <c r="I232" s="5">
        <v>72</v>
      </c>
      <c r="J232" s="5">
        <v>39</v>
      </c>
      <c r="K232" s="5">
        <v>54</v>
      </c>
      <c r="L232" s="5">
        <v>62</v>
      </c>
      <c r="M232" s="5">
        <v>87</v>
      </c>
      <c r="N232" s="6">
        <f>ROUND(H232*35%+I232*45%+VLOOKUP(G232,规则与说明!$A$6:$B$11,2,FALSE)*20%,1)</f>
        <v>66.8</v>
      </c>
      <c r="O232" s="6">
        <f>ROUND(H232*45%+I232*10%+VLOOKUP(G232,规则与说明!$A$6:$B$11,2,FALSE)*45%,1)</f>
        <v>63</v>
      </c>
      <c r="P232" s="7" t="s">
        <v>91</v>
      </c>
      <c r="Q232" s="1" t="s">
        <v>38</v>
      </c>
      <c r="R232" s="1" t="s">
        <v>509</v>
      </c>
    </row>
    <row r="233" spans="1:18" ht="15" hidden="1">
      <c r="A233" s="3">
        <v>229</v>
      </c>
      <c r="B233" s="1" t="s">
        <v>532</v>
      </c>
      <c r="C233" s="1" t="s">
        <v>506</v>
      </c>
      <c r="D233" s="1" t="s">
        <v>507</v>
      </c>
      <c r="E233" s="1">
        <v>1</v>
      </c>
      <c r="F233" s="1" t="s">
        <v>533</v>
      </c>
      <c r="G233" s="4">
        <v>5</v>
      </c>
      <c r="H233" s="5">
        <v>62</v>
      </c>
      <c r="I233" s="5">
        <v>65</v>
      </c>
      <c r="J233" s="5">
        <v>40</v>
      </c>
      <c r="K233" s="5">
        <v>53</v>
      </c>
      <c r="L233" s="5">
        <v>60</v>
      </c>
      <c r="M233" s="5">
        <v>89</v>
      </c>
      <c r="N233" s="6">
        <f>ROUND(H233*35%+I233*45%+VLOOKUP(G233,规则与说明!$A$6:$B$11,2,FALSE)*20%,1)</f>
        <v>63</v>
      </c>
      <c r="O233" s="6">
        <f>ROUND(H233*45%+I233*10%+VLOOKUP(G233,规则与说明!$A$6:$B$11,2,FALSE)*45%,1)</f>
        <v>61.4</v>
      </c>
      <c r="P233" s="7" t="s">
        <v>206</v>
      </c>
      <c r="Q233" s="1" t="s">
        <v>38</v>
      </c>
      <c r="R233" s="1" t="s">
        <v>509</v>
      </c>
    </row>
    <row r="234" spans="1:18" ht="15" hidden="1">
      <c r="A234" s="3">
        <v>230</v>
      </c>
      <c r="B234" s="1" t="s">
        <v>534</v>
      </c>
      <c r="C234" s="1" t="s">
        <v>506</v>
      </c>
      <c r="D234" s="1" t="s">
        <v>507</v>
      </c>
      <c r="E234" s="1">
        <v>1</v>
      </c>
      <c r="F234" s="1" t="s">
        <v>535</v>
      </c>
      <c r="G234" s="4">
        <v>5</v>
      </c>
      <c r="H234" s="5">
        <v>63</v>
      </c>
      <c r="I234" s="5">
        <v>64</v>
      </c>
      <c r="J234" s="5">
        <v>44</v>
      </c>
      <c r="K234" s="5">
        <v>55</v>
      </c>
      <c r="L234" s="5">
        <v>62</v>
      </c>
      <c r="M234" s="5">
        <v>88</v>
      </c>
      <c r="N234" s="6">
        <f>ROUND(H234*35%+I234*45%+VLOOKUP(G234,规则与说明!$A$6:$B$11,2,FALSE)*20%,1)</f>
        <v>62.9</v>
      </c>
      <c r="O234" s="6">
        <f>ROUND(H234*45%+I234*10%+VLOOKUP(G234,规则与说明!$A$6:$B$11,2,FALSE)*45%,1)</f>
        <v>61.8</v>
      </c>
      <c r="P234" s="7" t="s">
        <v>206</v>
      </c>
      <c r="Q234" s="1" t="s">
        <v>38</v>
      </c>
      <c r="R234" s="1" t="s">
        <v>509</v>
      </c>
    </row>
    <row r="235" spans="1:18" ht="15" hidden="1">
      <c r="A235" s="3">
        <v>231</v>
      </c>
      <c r="B235" s="1" t="s">
        <v>536</v>
      </c>
      <c r="C235" s="1" t="s">
        <v>506</v>
      </c>
      <c r="D235" s="1" t="s">
        <v>507</v>
      </c>
      <c r="E235" s="1">
        <v>1</v>
      </c>
      <c r="F235" s="1" t="s">
        <v>537</v>
      </c>
      <c r="G235" s="4">
        <v>5</v>
      </c>
      <c r="H235" s="5">
        <v>61</v>
      </c>
      <c r="I235" s="5">
        <v>65</v>
      </c>
      <c r="J235" s="5">
        <v>44</v>
      </c>
      <c r="K235" s="5">
        <v>51</v>
      </c>
      <c r="L235" s="5">
        <v>62</v>
      </c>
      <c r="M235" s="5">
        <v>89</v>
      </c>
      <c r="N235" s="6">
        <f>ROUND(H235*35%+I235*45%+VLOOKUP(G235,规则与说明!$A$6:$B$11,2,FALSE)*20%,1)</f>
        <v>62.6</v>
      </c>
      <c r="O235" s="6">
        <f>ROUND(H235*45%+I235*10%+VLOOKUP(G235,规则与说明!$A$6:$B$11,2,FALSE)*45%,1)</f>
        <v>61</v>
      </c>
      <c r="P235" s="7" t="s">
        <v>206</v>
      </c>
      <c r="Q235" s="1" t="s">
        <v>38</v>
      </c>
      <c r="R235" s="1" t="s">
        <v>509</v>
      </c>
    </row>
    <row r="236" spans="1:18" ht="15" hidden="1">
      <c r="A236" s="3">
        <v>232</v>
      </c>
      <c r="B236" s="1" t="s">
        <v>538</v>
      </c>
      <c r="C236" s="1" t="s">
        <v>506</v>
      </c>
      <c r="D236" s="1" t="s">
        <v>507</v>
      </c>
      <c r="E236" s="1">
        <v>1</v>
      </c>
      <c r="F236" s="1" t="s">
        <v>539</v>
      </c>
      <c r="G236" s="4">
        <v>5</v>
      </c>
      <c r="H236" s="5">
        <v>63</v>
      </c>
      <c r="I236" s="5">
        <v>72</v>
      </c>
      <c r="J236" s="5">
        <v>39</v>
      </c>
      <c r="K236" s="5">
        <v>52</v>
      </c>
      <c r="L236" s="5">
        <v>60</v>
      </c>
      <c r="M236" s="5">
        <v>84</v>
      </c>
      <c r="N236" s="6">
        <f>ROUND(H236*35%+I236*45%+VLOOKUP(G236,规则与说明!$A$6:$B$11,2,FALSE)*20%,1)</f>
        <v>66.5</v>
      </c>
      <c r="O236" s="6">
        <f>ROUND(H236*45%+I236*10%+VLOOKUP(G236,规则与说明!$A$6:$B$11,2,FALSE)*45%,1)</f>
        <v>62.6</v>
      </c>
      <c r="P236" s="7" t="s">
        <v>91</v>
      </c>
      <c r="Q236" s="1" t="s">
        <v>38</v>
      </c>
      <c r="R236" s="1" t="s">
        <v>509</v>
      </c>
    </row>
    <row r="237" spans="1:18" ht="15" hidden="1">
      <c r="A237" s="3">
        <v>233</v>
      </c>
      <c r="B237" s="1" t="s">
        <v>540</v>
      </c>
      <c r="C237" s="1" t="s">
        <v>506</v>
      </c>
      <c r="D237" s="1" t="s">
        <v>507</v>
      </c>
      <c r="E237" s="1">
        <v>1</v>
      </c>
      <c r="F237" s="1" t="s">
        <v>541</v>
      </c>
      <c r="G237" s="4">
        <v>5</v>
      </c>
      <c r="H237" s="5">
        <v>61</v>
      </c>
      <c r="I237" s="5">
        <v>70</v>
      </c>
      <c r="J237" s="5">
        <v>45</v>
      </c>
      <c r="K237" s="5">
        <v>57</v>
      </c>
      <c r="L237" s="5">
        <v>62</v>
      </c>
      <c r="M237" s="5">
        <v>82</v>
      </c>
      <c r="N237" s="6">
        <f>ROUND(H237*35%+I237*45%+VLOOKUP(G237,规则与说明!$A$6:$B$11,2,FALSE)*20%,1)</f>
        <v>64.900000000000006</v>
      </c>
      <c r="O237" s="6">
        <f>ROUND(H237*45%+I237*10%+VLOOKUP(G237,规则与说明!$A$6:$B$11,2,FALSE)*45%,1)</f>
        <v>61.5</v>
      </c>
      <c r="P237" s="7" t="s">
        <v>91</v>
      </c>
      <c r="Q237" s="1" t="s">
        <v>38</v>
      </c>
      <c r="R237" s="1" t="s">
        <v>509</v>
      </c>
    </row>
    <row r="238" spans="1:18" ht="15" hidden="1">
      <c r="A238" s="3">
        <v>234</v>
      </c>
      <c r="B238" s="1" t="s">
        <v>542</v>
      </c>
      <c r="C238" s="1" t="s">
        <v>506</v>
      </c>
      <c r="D238" s="1" t="s">
        <v>507</v>
      </c>
      <c r="E238" s="1">
        <v>1</v>
      </c>
      <c r="F238" s="1" t="s">
        <v>543</v>
      </c>
      <c r="G238" s="4">
        <v>5</v>
      </c>
      <c r="H238" s="5">
        <v>65</v>
      </c>
      <c r="I238" s="5">
        <v>64</v>
      </c>
      <c r="J238" s="5">
        <v>39</v>
      </c>
      <c r="K238" s="5">
        <v>55</v>
      </c>
      <c r="L238" s="5">
        <v>63</v>
      </c>
      <c r="M238" s="5">
        <v>82</v>
      </c>
      <c r="N238" s="6">
        <f>ROUND(H238*35%+I238*45%+VLOOKUP(G238,规则与说明!$A$6:$B$11,2,FALSE)*20%,1)</f>
        <v>63.6</v>
      </c>
      <c r="O238" s="6">
        <f>ROUND(H238*45%+I238*10%+VLOOKUP(G238,规则与说明!$A$6:$B$11,2,FALSE)*45%,1)</f>
        <v>62.7</v>
      </c>
      <c r="P238" s="7" t="s">
        <v>46</v>
      </c>
      <c r="Q238" s="1" t="s">
        <v>38</v>
      </c>
      <c r="R238" s="1" t="s">
        <v>509</v>
      </c>
    </row>
    <row r="239" spans="1:18" ht="15" hidden="1">
      <c r="A239" s="3">
        <v>235</v>
      </c>
      <c r="B239" s="1" t="s">
        <v>544</v>
      </c>
      <c r="C239" s="1" t="s">
        <v>545</v>
      </c>
      <c r="D239" s="1" t="s">
        <v>546</v>
      </c>
      <c r="E239" s="1">
        <v>1</v>
      </c>
      <c r="F239" s="1" t="s">
        <v>547</v>
      </c>
      <c r="G239" s="4">
        <v>2</v>
      </c>
      <c r="H239" s="5">
        <v>87</v>
      </c>
      <c r="I239" s="5">
        <v>94</v>
      </c>
      <c r="J239" s="5">
        <v>74</v>
      </c>
      <c r="K239" s="5">
        <v>80</v>
      </c>
      <c r="L239" s="5">
        <v>80</v>
      </c>
      <c r="M239" s="5">
        <v>93</v>
      </c>
      <c r="N239" s="6">
        <f>ROUND(H239*35%+I239*45%+VLOOKUP(G239,规则与说明!$A$6:$B$11,2,FALSE)*20%,1)</f>
        <v>90.2</v>
      </c>
      <c r="O239" s="6">
        <f>ROUND(H239*45%+I239*10%+VLOOKUP(G239,规则与说明!$A$6:$B$11,2,FALSE)*45%,1)</f>
        <v>87.7</v>
      </c>
      <c r="P239" s="7" t="s">
        <v>132</v>
      </c>
      <c r="Q239" s="1" t="s">
        <v>25</v>
      </c>
      <c r="R239" s="1" t="s">
        <v>548</v>
      </c>
    </row>
    <row r="240" spans="1:18" ht="15" hidden="1">
      <c r="A240" s="3">
        <v>236</v>
      </c>
      <c r="B240" s="1" t="s">
        <v>549</v>
      </c>
      <c r="C240" s="1" t="s">
        <v>545</v>
      </c>
      <c r="D240" s="1" t="s">
        <v>546</v>
      </c>
      <c r="E240" s="1">
        <v>1</v>
      </c>
      <c r="F240" s="1" t="s">
        <v>550</v>
      </c>
      <c r="G240" s="4">
        <v>2</v>
      </c>
      <c r="H240" s="5">
        <v>89</v>
      </c>
      <c r="I240" s="5">
        <v>87</v>
      </c>
      <c r="J240" s="5">
        <v>76</v>
      </c>
      <c r="K240" s="5">
        <v>83</v>
      </c>
      <c r="L240" s="5">
        <v>79</v>
      </c>
      <c r="M240" s="5">
        <v>83</v>
      </c>
      <c r="N240" s="6">
        <f>ROUND(H240*35%+I240*45%+VLOOKUP(G240,规则与说明!$A$6:$B$11,2,FALSE)*20%,1)</f>
        <v>87.7</v>
      </c>
      <c r="O240" s="6">
        <f>ROUND(H240*45%+I240*10%+VLOOKUP(G240,规则与说明!$A$6:$B$11,2,FALSE)*45%,1)</f>
        <v>87.9</v>
      </c>
      <c r="P240" s="7" t="s">
        <v>46</v>
      </c>
      <c r="Q240" s="1" t="s">
        <v>38</v>
      </c>
      <c r="R240" s="1" t="s">
        <v>548</v>
      </c>
    </row>
    <row r="241" spans="1:18" ht="15" hidden="1">
      <c r="A241" s="3">
        <v>237</v>
      </c>
      <c r="B241" s="1" t="s">
        <v>551</v>
      </c>
      <c r="C241" s="1" t="s">
        <v>545</v>
      </c>
      <c r="D241" s="1" t="s">
        <v>546</v>
      </c>
      <c r="E241" s="1">
        <v>1</v>
      </c>
      <c r="F241" s="1" t="s">
        <v>552</v>
      </c>
      <c r="G241" s="4">
        <v>2</v>
      </c>
      <c r="H241" s="5">
        <v>90</v>
      </c>
      <c r="I241" s="5">
        <v>92</v>
      </c>
      <c r="J241" s="5">
        <v>71</v>
      </c>
      <c r="K241" s="5">
        <v>80</v>
      </c>
      <c r="L241" s="5">
        <v>79</v>
      </c>
      <c r="M241" s="5">
        <v>76</v>
      </c>
      <c r="N241" s="6">
        <f>ROUND(H241*35%+I241*45%+VLOOKUP(G241,规则与说明!$A$6:$B$11,2,FALSE)*20%,1)</f>
        <v>90.3</v>
      </c>
      <c r="O241" s="6">
        <f>ROUND(H241*45%+I241*10%+VLOOKUP(G241,规则与说明!$A$6:$B$11,2,FALSE)*45%,1)</f>
        <v>88.9</v>
      </c>
      <c r="P241" s="7" t="s">
        <v>228</v>
      </c>
      <c r="Q241" s="1" t="s">
        <v>38</v>
      </c>
      <c r="R241" s="1" t="s">
        <v>548</v>
      </c>
    </row>
    <row r="242" spans="1:18" ht="15" hidden="1">
      <c r="A242" s="3">
        <v>238</v>
      </c>
      <c r="B242" s="1" t="s">
        <v>553</v>
      </c>
      <c r="C242" s="1" t="s">
        <v>545</v>
      </c>
      <c r="D242" s="1" t="s">
        <v>546</v>
      </c>
      <c r="E242" s="1">
        <v>1</v>
      </c>
      <c r="F242" s="1" t="s">
        <v>554</v>
      </c>
      <c r="G242" s="4">
        <v>3</v>
      </c>
      <c r="H242" s="5">
        <v>81</v>
      </c>
      <c r="I242" s="5">
        <v>80</v>
      </c>
      <c r="J242" s="5">
        <v>64</v>
      </c>
      <c r="K242" s="5">
        <v>76</v>
      </c>
      <c r="L242" s="5">
        <v>77</v>
      </c>
      <c r="M242" s="5">
        <v>75</v>
      </c>
      <c r="N242" s="6">
        <f>ROUND(H242*35%+I242*45%+VLOOKUP(G242,规则与说明!$A$6:$B$11,2,FALSE)*20%,1)</f>
        <v>80.2</v>
      </c>
      <c r="O242" s="6">
        <f>ROUND(H242*45%+I242*10%+VLOOKUP(G242,规则与说明!$A$6:$B$11,2,FALSE)*45%,1)</f>
        <v>80</v>
      </c>
      <c r="P242" s="7" t="s">
        <v>46</v>
      </c>
      <c r="Q242" s="1" t="s">
        <v>38</v>
      </c>
      <c r="R242" s="1" t="s">
        <v>548</v>
      </c>
    </row>
    <row r="243" spans="1:18" ht="15" hidden="1">
      <c r="A243" s="3">
        <v>239</v>
      </c>
      <c r="B243" s="1" t="s">
        <v>555</v>
      </c>
      <c r="C243" s="1" t="s">
        <v>545</v>
      </c>
      <c r="D243" s="1" t="s">
        <v>546</v>
      </c>
      <c r="E243" s="1">
        <v>1</v>
      </c>
      <c r="F243" s="1" t="s">
        <v>556</v>
      </c>
      <c r="G243" s="4">
        <v>3</v>
      </c>
      <c r="H243" s="5">
        <v>83</v>
      </c>
      <c r="I243" s="5">
        <v>92</v>
      </c>
      <c r="J243" s="5">
        <v>61</v>
      </c>
      <c r="K243" s="5">
        <v>77</v>
      </c>
      <c r="L243" s="5">
        <v>73</v>
      </c>
      <c r="M243" s="5">
        <v>92</v>
      </c>
      <c r="N243" s="6">
        <f>ROUND(H243*35%+I243*45%+VLOOKUP(G243,规则与说明!$A$6:$B$11,2,FALSE)*20%,1)</f>
        <v>86.3</v>
      </c>
      <c r="O243" s="6">
        <f>ROUND(H243*45%+I243*10%+VLOOKUP(G243,规则与说明!$A$6:$B$11,2,FALSE)*45%,1)</f>
        <v>82.1</v>
      </c>
      <c r="P243" s="7" t="s">
        <v>132</v>
      </c>
      <c r="Q243" s="1" t="s">
        <v>25</v>
      </c>
      <c r="R243" s="1" t="s">
        <v>548</v>
      </c>
    </row>
    <row r="244" spans="1:18" ht="15" hidden="1">
      <c r="A244" s="3">
        <v>240</v>
      </c>
      <c r="B244" s="1" t="s">
        <v>557</v>
      </c>
      <c r="C244" s="1" t="s">
        <v>545</v>
      </c>
      <c r="D244" s="1" t="s">
        <v>546</v>
      </c>
      <c r="E244" s="1">
        <v>1</v>
      </c>
      <c r="F244" s="1" t="s">
        <v>558</v>
      </c>
      <c r="G244" s="4">
        <v>3</v>
      </c>
      <c r="H244" s="5">
        <v>82</v>
      </c>
      <c r="I244" s="5">
        <v>87</v>
      </c>
      <c r="J244" s="5">
        <v>62</v>
      </c>
      <c r="K244" s="5">
        <v>78</v>
      </c>
      <c r="L244" s="5">
        <v>77</v>
      </c>
      <c r="M244" s="5">
        <v>85</v>
      </c>
      <c r="N244" s="6">
        <f>ROUND(H244*35%+I244*45%+VLOOKUP(G244,规则与说明!$A$6:$B$11,2,FALSE)*20%,1)</f>
        <v>83.7</v>
      </c>
      <c r="O244" s="6">
        <f>ROUND(H244*45%+I244*10%+VLOOKUP(G244,规则与说明!$A$6:$B$11,2,FALSE)*45%,1)</f>
        <v>81.2</v>
      </c>
      <c r="P244" s="7" t="s">
        <v>46</v>
      </c>
      <c r="Q244" s="1" t="s">
        <v>25</v>
      </c>
      <c r="R244" s="1" t="s">
        <v>548</v>
      </c>
    </row>
    <row r="245" spans="1:18" ht="15" hidden="1">
      <c r="A245" s="3">
        <v>241</v>
      </c>
      <c r="B245" s="1" t="s">
        <v>559</v>
      </c>
      <c r="C245" s="1" t="s">
        <v>545</v>
      </c>
      <c r="D245" s="1" t="s">
        <v>546</v>
      </c>
      <c r="E245" s="1">
        <v>1</v>
      </c>
      <c r="F245" s="1" t="s">
        <v>560</v>
      </c>
      <c r="G245" s="4">
        <v>5</v>
      </c>
      <c r="H245" s="5">
        <v>65</v>
      </c>
      <c r="I245" s="5">
        <v>65</v>
      </c>
      <c r="J245" s="5">
        <v>41</v>
      </c>
      <c r="K245" s="5">
        <v>55</v>
      </c>
      <c r="L245" s="5">
        <v>64</v>
      </c>
      <c r="M245" s="5">
        <v>85</v>
      </c>
      <c r="N245" s="6">
        <f>ROUND(H245*35%+I245*45%+VLOOKUP(G245,规则与说明!$A$6:$B$11,2,FALSE)*20%,1)</f>
        <v>64</v>
      </c>
      <c r="O245" s="6">
        <f>ROUND(H245*45%+I245*10%+VLOOKUP(G245,规则与说明!$A$6:$B$11,2,FALSE)*45%,1)</f>
        <v>62.8</v>
      </c>
      <c r="P245" s="7" t="s">
        <v>46</v>
      </c>
      <c r="Q245" s="1" t="s">
        <v>38</v>
      </c>
      <c r="R245" s="1" t="s">
        <v>548</v>
      </c>
    </row>
    <row r="246" spans="1:18" ht="15" hidden="1">
      <c r="A246" s="3">
        <v>242</v>
      </c>
      <c r="B246" s="1" t="s">
        <v>561</v>
      </c>
      <c r="C246" s="1" t="s">
        <v>545</v>
      </c>
      <c r="D246" s="1" t="s">
        <v>546</v>
      </c>
      <c r="E246" s="1">
        <v>1</v>
      </c>
      <c r="F246" s="1" t="s">
        <v>562</v>
      </c>
      <c r="G246" s="4">
        <v>5</v>
      </c>
      <c r="H246" s="5">
        <v>63</v>
      </c>
      <c r="I246" s="5">
        <v>65</v>
      </c>
      <c r="J246" s="5">
        <v>43</v>
      </c>
      <c r="K246" s="5">
        <v>51</v>
      </c>
      <c r="L246" s="5">
        <v>64</v>
      </c>
      <c r="M246" s="5">
        <v>88</v>
      </c>
      <c r="N246" s="6">
        <f>ROUND(H246*35%+I246*45%+VLOOKUP(G246,规则与说明!$A$6:$B$11,2,FALSE)*20%,1)</f>
        <v>63.3</v>
      </c>
      <c r="O246" s="6">
        <f>ROUND(H246*45%+I246*10%+VLOOKUP(G246,规则与说明!$A$6:$B$11,2,FALSE)*45%,1)</f>
        <v>61.9</v>
      </c>
      <c r="P246" s="7" t="s">
        <v>410</v>
      </c>
      <c r="Q246" s="1" t="s">
        <v>38</v>
      </c>
      <c r="R246" s="1" t="s">
        <v>548</v>
      </c>
    </row>
    <row r="247" spans="1:18" ht="15" hidden="1">
      <c r="A247" s="3">
        <v>243</v>
      </c>
      <c r="B247" s="1" t="s">
        <v>563</v>
      </c>
      <c r="C247" s="1" t="s">
        <v>545</v>
      </c>
      <c r="D247" s="1" t="s">
        <v>546</v>
      </c>
      <c r="E247" s="1">
        <v>1</v>
      </c>
      <c r="F247" s="1" t="s">
        <v>564</v>
      </c>
      <c r="G247" s="4">
        <v>5</v>
      </c>
      <c r="H247" s="5">
        <v>64</v>
      </c>
      <c r="I247" s="5">
        <v>63</v>
      </c>
      <c r="J247" s="5">
        <v>38</v>
      </c>
      <c r="K247" s="5">
        <v>54</v>
      </c>
      <c r="L247" s="5">
        <v>60</v>
      </c>
      <c r="M247" s="5">
        <v>86</v>
      </c>
      <c r="N247" s="6">
        <f>ROUND(H247*35%+I247*45%+VLOOKUP(G247,规则与说明!$A$6:$B$11,2,FALSE)*20%,1)</f>
        <v>62.8</v>
      </c>
      <c r="O247" s="6">
        <f>ROUND(H247*45%+I247*10%+VLOOKUP(G247,规则与说明!$A$6:$B$11,2,FALSE)*45%,1)</f>
        <v>62.1</v>
      </c>
      <c r="P247" s="7" t="s">
        <v>91</v>
      </c>
      <c r="Q247" s="1" t="s">
        <v>38</v>
      </c>
      <c r="R247" s="1" t="s">
        <v>548</v>
      </c>
    </row>
    <row r="248" spans="1:18" ht="15" hidden="1">
      <c r="A248" s="3">
        <v>244</v>
      </c>
      <c r="B248" s="1" t="s">
        <v>565</v>
      </c>
      <c r="C248" s="1" t="s">
        <v>545</v>
      </c>
      <c r="D248" s="1" t="s">
        <v>546</v>
      </c>
      <c r="E248" s="1">
        <v>1</v>
      </c>
      <c r="F248" s="1" t="s">
        <v>566</v>
      </c>
      <c r="G248" s="4">
        <v>5</v>
      </c>
      <c r="H248" s="5">
        <v>63</v>
      </c>
      <c r="I248" s="5">
        <v>71</v>
      </c>
      <c r="J248" s="5">
        <v>43</v>
      </c>
      <c r="K248" s="5">
        <v>50</v>
      </c>
      <c r="L248" s="5">
        <v>64</v>
      </c>
      <c r="M248" s="5">
        <v>89</v>
      </c>
      <c r="N248" s="6">
        <f>ROUND(H248*35%+I248*45%+VLOOKUP(G248,规则与说明!$A$6:$B$11,2,FALSE)*20%,1)</f>
        <v>66</v>
      </c>
      <c r="O248" s="6">
        <f>ROUND(H248*45%+I248*10%+VLOOKUP(G248,规则与说明!$A$6:$B$11,2,FALSE)*45%,1)</f>
        <v>62.5</v>
      </c>
      <c r="P248" s="7" t="s">
        <v>410</v>
      </c>
      <c r="Q248" s="1" t="s">
        <v>38</v>
      </c>
      <c r="R248" s="1" t="s">
        <v>548</v>
      </c>
    </row>
    <row r="249" spans="1:18" ht="15" hidden="1">
      <c r="A249" s="3">
        <v>245</v>
      </c>
      <c r="B249" s="1" t="s">
        <v>567</v>
      </c>
      <c r="C249" s="1" t="s">
        <v>545</v>
      </c>
      <c r="D249" s="1" t="s">
        <v>546</v>
      </c>
      <c r="E249" s="1">
        <v>1</v>
      </c>
      <c r="F249" s="1" t="s">
        <v>568</v>
      </c>
      <c r="G249" s="4">
        <v>5</v>
      </c>
      <c r="H249" s="5">
        <v>64</v>
      </c>
      <c r="I249" s="5">
        <v>70</v>
      </c>
      <c r="J249" s="5">
        <v>43</v>
      </c>
      <c r="K249" s="5">
        <v>49</v>
      </c>
      <c r="L249" s="5">
        <v>63</v>
      </c>
      <c r="M249" s="5">
        <v>82</v>
      </c>
      <c r="N249" s="6">
        <f>ROUND(H249*35%+I249*45%+VLOOKUP(G249,规则与说明!$A$6:$B$11,2,FALSE)*20%,1)</f>
        <v>65.900000000000006</v>
      </c>
      <c r="O249" s="6">
        <f>ROUND(H249*45%+I249*10%+VLOOKUP(G249,规则与说明!$A$6:$B$11,2,FALSE)*45%,1)</f>
        <v>62.8</v>
      </c>
      <c r="P249" s="7" t="s">
        <v>46</v>
      </c>
      <c r="Q249" s="1" t="s">
        <v>38</v>
      </c>
      <c r="R249" s="1" t="s">
        <v>548</v>
      </c>
    </row>
    <row r="250" spans="1:18" ht="15" hidden="1">
      <c r="A250" s="3">
        <v>246</v>
      </c>
      <c r="B250" s="1" t="s">
        <v>569</v>
      </c>
      <c r="C250" s="1" t="s">
        <v>545</v>
      </c>
      <c r="D250" s="1" t="s">
        <v>546</v>
      </c>
      <c r="E250" s="1">
        <v>1</v>
      </c>
      <c r="F250" s="1" t="s">
        <v>570</v>
      </c>
      <c r="G250" s="4">
        <v>5</v>
      </c>
      <c r="H250" s="5">
        <v>63</v>
      </c>
      <c r="I250" s="5">
        <v>64</v>
      </c>
      <c r="J250" s="5">
        <v>39</v>
      </c>
      <c r="K250" s="5">
        <v>52</v>
      </c>
      <c r="L250" s="5">
        <v>60</v>
      </c>
      <c r="M250" s="5">
        <v>87</v>
      </c>
      <c r="N250" s="6">
        <f>ROUND(H250*35%+I250*45%+VLOOKUP(G250,规则与说明!$A$6:$B$11,2,FALSE)*20%,1)</f>
        <v>62.9</v>
      </c>
      <c r="O250" s="6">
        <f>ROUND(H250*45%+I250*10%+VLOOKUP(G250,规则与说明!$A$6:$B$11,2,FALSE)*45%,1)</f>
        <v>61.8</v>
      </c>
      <c r="P250" s="7" t="s">
        <v>91</v>
      </c>
      <c r="Q250" s="1" t="s">
        <v>38</v>
      </c>
      <c r="R250" s="1" t="s">
        <v>548</v>
      </c>
    </row>
    <row r="251" spans="1:18" ht="15" hidden="1">
      <c r="A251" s="3">
        <v>247</v>
      </c>
      <c r="B251" s="1" t="s">
        <v>571</v>
      </c>
      <c r="C251" s="1" t="s">
        <v>545</v>
      </c>
      <c r="D251" s="1" t="s">
        <v>546</v>
      </c>
      <c r="E251" s="1">
        <v>1</v>
      </c>
      <c r="F251" s="1" t="s">
        <v>572</v>
      </c>
      <c r="G251" s="4">
        <v>5</v>
      </c>
      <c r="H251" s="5">
        <v>63</v>
      </c>
      <c r="I251" s="5">
        <v>71</v>
      </c>
      <c r="J251" s="5">
        <v>41</v>
      </c>
      <c r="K251" s="5">
        <v>55</v>
      </c>
      <c r="L251" s="5">
        <v>64</v>
      </c>
      <c r="M251" s="5">
        <v>84</v>
      </c>
      <c r="N251" s="6">
        <f>ROUND(H251*35%+I251*45%+VLOOKUP(G251,规则与说明!$A$6:$B$11,2,FALSE)*20%,1)</f>
        <v>66</v>
      </c>
      <c r="O251" s="6">
        <f>ROUND(H251*45%+I251*10%+VLOOKUP(G251,规则与说明!$A$6:$B$11,2,FALSE)*45%,1)</f>
        <v>62.5</v>
      </c>
      <c r="P251" s="7" t="s">
        <v>46</v>
      </c>
      <c r="Q251" s="1" t="s">
        <v>38</v>
      </c>
      <c r="R251" s="1" t="s">
        <v>548</v>
      </c>
    </row>
    <row r="252" spans="1:18" ht="15" hidden="1">
      <c r="A252" s="3">
        <v>248</v>
      </c>
      <c r="B252" s="1" t="s">
        <v>573</v>
      </c>
      <c r="C252" s="1" t="s">
        <v>545</v>
      </c>
      <c r="D252" s="1" t="s">
        <v>546</v>
      </c>
      <c r="E252" s="1">
        <v>1</v>
      </c>
      <c r="F252" s="1" t="s">
        <v>574</v>
      </c>
      <c r="G252" s="4">
        <v>5</v>
      </c>
      <c r="H252" s="5">
        <v>63</v>
      </c>
      <c r="I252" s="5">
        <v>70</v>
      </c>
      <c r="J252" s="5">
        <v>40</v>
      </c>
      <c r="K252" s="5">
        <v>52</v>
      </c>
      <c r="L252" s="5">
        <v>61</v>
      </c>
      <c r="M252" s="5">
        <v>84</v>
      </c>
      <c r="N252" s="6">
        <f>ROUND(H252*35%+I252*45%+VLOOKUP(G252,规则与说明!$A$6:$B$11,2,FALSE)*20%,1)</f>
        <v>65.599999999999994</v>
      </c>
      <c r="O252" s="6">
        <f>ROUND(H252*45%+I252*10%+VLOOKUP(G252,规则与说明!$A$6:$B$11,2,FALSE)*45%,1)</f>
        <v>62.4</v>
      </c>
      <c r="P252" s="7" t="s">
        <v>91</v>
      </c>
      <c r="Q252" s="1" t="s">
        <v>38</v>
      </c>
      <c r="R252" s="1" t="s">
        <v>548</v>
      </c>
    </row>
    <row r="253" spans="1:18" ht="15" hidden="1">
      <c r="A253" s="3">
        <v>249</v>
      </c>
      <c r="B253" s="1" t="s">
        <v>575</v>
      </c>
      <c r="C253" s="1" t="s">
        <v>545</v>
      </c>
      <c r="D253" s="1" t="s">
        <v>546</v>
      </c>
      <c r="E253" s="1">
        <v>1</v>
      </c>
      <c r="F253" s="1" t="s">
        <v>576</v>
      </c>
      <c r="G253" s="4">
        <v>5</v>
      </c>
      <c r="H253" s="5">
        <v>65</v>
      </c>
      <c r="I253" s="5">
        <v>64</v>
      </c>
      <c r="J253" s="5">
        <v>43</v>
      </c>
      <c r="K253" s="5">
        <v>54</v>
      </c>
      <c r="L253" s="5">
        <v>60</v>
      </c>
      <c r="M253" s="5">
        <v>83</v>
      </c>
      <c r="N253" s="6">
        <f>ROUND(H253*35%+I253*45%+VLOOKUP(G253,规则与说明!$A$6:$B$11,2,FALSE)*20%,1)</f>
        <v>63.6</v>
      </c>
      <c r="O253" s="6">
        <f>ROUND(H253*45%+I253*10%+VLOOKUP(G253,规则与说明!$A$6:$B$11,2,FALSE)*45%,1)</f>
        <v>62.7</v>
      </c>
      <c r="P253" s="7" t="s">
        <v>91</v>
      </c>
      <c r="Q253" s="1" t="s">
        <v>38</v>
      </c>
      <c r="R253" s="1" t="s">
        <v>548</v>
      </c>
    </row>
    <row r="254" spans="1:18" ht="15" hidden="1">
      <c r="A254" s="3">
        <v>250</v>
      </c>
      <c r="B254" s="1" t="s">
        <v>577</v>
      </c>
      <c r="C254" s="1" t="s">
        <v>545</v>
      </c>
      <c r="D254" s="1" t="s">
        <v>546</v>
      </c>
      <c r="E254" s="1">
        <v>1</v>
      </c>
      <c r="F254" s="1" t="s">
        <v>578</v>
      </c>
      <c r="G254" s="4">
        <v>5</v>
      </c>
      <c r="H254" s="5">
        <v>65</v>
      </c>
      <c r="I254" s="5">
        <v>69</v>
      </c>
      <c r="J254" s="5">
        <v>40</v>
      </c>
      <c r="K254" s="5">
        <v>49</v>
      </c>
      <c r="L254" s="5">
        <v>62</v>
      </c>
      <c r="M254" s="5">
        <v>86</v>
      </c>
      <c r="N254" s="6">
        <f>ROUND(H254*35%+I254*45%+VLOOKUP(G254,规则与说明!$A$6:$B$11,2,FALSE)*20%,1)</f>
        <v>65.8</v>
      </c>
      <c r="O254" s="6">
        <f>ROUND(H254*45%+I254*10%+VLOOKUP(G254,规则与说明!$A$6:$B$11,2,FALSE)*45%,1)</f>
        <v>63.2</v>
      </c>
      <c r="P254" s="7" t="s">
        <v>91</v>
      </c>
      <c r="Q254" s="1" t="s">
        <v>38</v>
      </c>
      <c r="R254" s="1" t="s">
        <v>548</v>
      </c>
    </row>
    <row r="255" spans="1:18" ht="15" hidden="1">
      <c r="A255" s="3">
        <v>251</v>
      </c>
      <c r="B255" s="1" t="s">
        <v>579</v>
      </c>
      <c r="C255" s="1" t="s">
        <v>545</v>
      </c>
      <c r="D255" s="1" t="s">
        <v>546</v>
      </c>
      <c r="E255" s="1">
        <v>1</v>
      </c>
      <c r="F255" s="1" t="s">
        <v>580</v>
      </c>
      <c r="G255" s="4">
        <v>5</v>
      </c>
      <c r="H255" s="5">
        <v>64</v>
      </c>
      <c r="I255" s="5">
        <v>65</v>
      </c>
      <c r="J255" s="5">
        <v>40</v>
      </c>
      <c r="K255" s="5">
        <v>51</v>
      </c>
      <c r="L255" s="5">
        <v>60</v>
      </c>
      <c r="M255" s="5">
        <v>85</v>
      </c>
      <c r="N255" s="6">
        <f>ROUND(H255*35%+I255*45%+VLOOKUP(G255,规则与说明!$A$6:$B$11,2,FALSE)*20%,1)</f>
        <v>63.7</v>
      </c>
      <c r="O255" s="6">
        <f>ROUND(H255*45%+I255*10%+VLOOKUP(G255,规则与说明!$A$6:$B$11,2,FALSE)*45%,1)</f>
        <v>62.3</v>
      </c>
      <c r="P255" s="7" t="s">
        <v>91</v>
      </c>
      <c r="Q255" s="1" t="s">
        <v>38</v>
      </c>
      <c r="R255" s="1" t="s">
        <v>548</v>
      </c>
    </row>
    <row r="256" spans="1:18" ht="15" hidden="1">
      <c r="A256" s="3">
        <v>252</v>
      </c>
      <c r="B256" s="1" t="s">
        <v>581</v>
      </c>
      <c r="C256" s="1" t="s">
        <v>545</v>
      </c>
      <c r="D256" s="1" t="s">
        <v>546</v>
      </c>
      <c r="E256" s="1">
        <v>1</v>
      </c>
      <c r="F256" s="1" t="s">
        <v>582</v>
      </c>
      <c r="G256" s="4">
        <v>5</v>
      </c>
      <c r="H256" s="5">
        <v>61</v>
      </c>
      <c r="I256" s="5">
        <v>67</v>
      </c>
      <c r="J256" s="5">
        <v>39</v>
      </c>
      <c r="K256" s="5">
        <v>50</v>
      </c>
      <c r="L256" s="5">
        <v>60</v>
      </c>
      <c r="M256" s="5">
        <v>87</v>
      </c>
      <c r="N256" s="6">
        <f>ROUND(H256*35%+I256*45%+VLOOKUP(G256,规则与说明!$A$6:$B$11,2,FALSE)*20%,1)</f>
        <v>63.5</v>
      </c>
      <c r="O256" s="6">
        <f>ROUND(H256*45%+I256*10%+VLOOKUP(G256,规则与说明!$A$6:$B$11,2,FALSE)*45%,1)</f>
        <v>61.2</v>
      </c>
      <c r="P256" s="7" t="s">
        <v>91</v>
      </c>
      <c r="Q256" s="1" t="s">
        <v>38</v>
      </c>
      <c r="R256" s="1" t="s">
        <v>548</v>
      </c>
    </row>
    <row r="257" spans="1:18" ht="15" hidden="1">
      <c r="A257" s="3">
        <v>253</v>
      </c>
      <c r="B257" s="1" t="s">
        <v>583</v>
      </c>
      <c r="C257" s="1" t="s">
        <v>584</v>
      </c>
      <c r="D257" s="1" t="s">
        <v>585</v>
      </c>
      <c r="E257" s="1">
        <v>1</v>
      </c>
      <c r="F257" s="1" t="s">
        <v>586</v>
      </c>
      <c r="G257" s="4">
        <v>4</v>
      </c>
      <c r="H257" s="5">
        <v>74</v>
      </c>
      <c r="I257" s="5">
        <v>70</v>
      </c>
      <c r="J257" s="5">
        <v>53</v>
      </c>
      <c r="K257" s="5">
        <v>62</v>
      </c>
      <c r="L257" s="5">
        <v>67</v>
      </c>
      <c r="M257" s="5">
        <v>80</v>
      </c>
      <c r="N257" s="6">
        <f>ROUND(H257*35%+I257*45%+VLOOKUP(G257,规则与说明!$A$6:$B$11,2,FALSE)*20%,1)</f>
        <v>71.400000000000006</v>
      </c>
      <c r="O257" s="6">
        <f>ROUND(H257*45%+I257*10%+VLOOKUP(G257,规则与说明!$A$6:$B$11,2,FALSE)*45%,1)</f>
        <v>71.8</v>
      </c>
      <c r="P257" s="7" t="s">
        <v>46</v>
      </c>
      <c r="Q257" s="1" t="s">
        <v>38</v>
      </c>
      <c r="R257" s="1" t="s">
        <v>587</v>
      </c>
    </row>
    <row r="258" spans="1:18" ht="15" hidden="1">
      <c r="A258" s="3">
        <v>254</v>
      </c>
      <c r="B258" s="1" t="s">
        <v>588</v>
      </c>
      <c r="C258" s="1" t="s">
        <v>584</v>
      </c>
      <c r="D258" s="1" t="s">
        <v>585</v>
      </c>
      <c r="E258" s="1">
        <v>1</v>
      </c>
      <c r="F258" s="1" t="s">
        <v>589</v>
      </c>
      <c r="G258" s="4">
        <v>4</v>
      </c>
      <c r="H258" s="5">
        <v>75</v>
      </c>
      <c r="I258" s="5">
        <v>75</v>
      </c>
      <c r="J258" s="5">
        <v>50</v>
      </c>
      <c r="K258" s="5">
        <v>62</v>
      </c>
      <c r="L258" s="5">
        <v>68</v>
      </c>
      <c r="M258" s="5">
        <v>78</v>
      </c>
      <c r="N258" s="6">
        <f>ROUND(H258*35%+I258*45%+VLOOKUP(G258,规则与说明!$A$6:$B$11,2,FALSE)*20%,1)</f>
        <v>74</v>
      </c>
      <c r="O258" s="6">
        <f>ROUND(H258*45%+I258*10%+VLOOKUP(G258,规则与说明!$A$6:$B$11,2,FALSE)*45%,1)</f>
        <v>72.8</v>
      </c>
      <c r="P258" s="7" t="s">
        <v>46</v>
      </c>
      <c r="Q258" s="1" t="s">
        <v>38</v>
      </c>
      <c r="R258" s="1" t="s">
        <v>587</v>
      </c>
    </row>
    <row r="259" spans="1:18" ht="15" hidden="1">
      <c r="A259" s="3">
        <v>255</v>
      </c>
      <c r="B259" s="1" t="s">
        <v>590</v>
      </c>
      <c r="C259" s="1" t="s">
        <v>584</v>
      </c>
      <c r="D259" s="1" t="s">
        <v>585</v>
      </c>
      <c r="E259" s="1">
        <v>1</v>
      </c>
      <c r="F259" s="1" t="s">
        <v>591</v>
      </c>
      <c r="G259" s="4">
        <v>4</v>
      </c>
      <c r="H259" s="5">
        <v>74</v>
      </c>
      <c r="I259" s="5">
        <v>84</v>
      </c>
      <c r="J259" s="5">
        <v>50</v>
      </c>
      <c r="K259" s="5">
        <v>63</v>
      </c>
      <c r="L259" s="5">
        <v>71</v>
      </c>
      <c r="M259" s="5">
        <v>82</v>
      </c>
      <c r="N259" s="6">
        <f>ROUND(H259*35%+I259*45%+VLOOKUP(G259,规则与说明!$A$6:$B$11,2,FALSE)*20%,1)</f>
        <v>77.7</v>
      </c>
      <c r="O259" s="6">
        <f>ROUND(H259*45%+I259*10%+VLOOKUP(G259,规则与说明!$A$6:$B$11,2,FALSE)*45%,1)</f>
        <v>73.2</v>
      </c>
      <c r="P259" s="7" t="s">
        <v>46</v>
      </c>
      <c r="Q259" s="1" t="s">
        <v>25</v>
      </c>
      <c r="R259" s="1" t="s">
        <v>587</v>
      </c>
    </row>
    <row r="260" spans="1:18" ht="15" hidden="1">
      <c r="A260" s="3">
        <v>256</v>
      </c>
      <c r="B260" s="1" t="s">
        <v>592</v>
      </c>
      <c r="C260" s="1" t="s">
        <v>584</v>
      </c>
      <c r="D260" s="1" t="s">
        <v>585</v>
      </c>
      <c r="E260" s="1">
        <v>1</v>
      </c>
      <c r="F260" s="1" t="s">
        <v>593</v>
      </c>
      <c r="G260" s="4">
        <v>4</v>
      </c>
      <c r="H260" s="5">
        <v>73</v>
      </c>
      <c r="I260" s="5">
        <v>85</v>
      </c>
      <c r="J260" s="5">
        <v>55</v>
      </c>
      <c r="K260" s="5">
        <v>64</v>
      </c>
      <c r="L260" s="5">
        <v>70</v>
      </c>
      <c r="M260" s="5">
        <v>84</v>
      </c>
      <c r="N260" s="6">
        <f>ROUND(H260*35%+I260*45%+VLOOKUP(G260,规则与说明!$A$6:$B$11,2,FALSE)*20%,1)</f>
        <v>77.8</v>
      </c>
      <c r="O260" s="6">
        <f>ROUND(H260*45%+I260*10%+VLOOKUP(G260,规则与说明!$A$6:$B$11,2,FALSE)*45%,1)</f>
        <v>72.900000000000006</v>
      </c>
      <c r="P260" s="7" t="s">
        <v>46</v>
      </c>
      <c r="Q260" s="1" t="s">
        <v>25</v>
      </c>
      <c r="R260" s="1" t="s">
        <v>587</v>
      </c>
    </row>
    <row r="261" spans="1:18" ht="15" hidden="1">
      <c r="A261" s="3">
        <v>257</v>
      </c>
      <c r="B261" s="1" t="s">
        <v>594</v>
      </c>
      <c r="C261" s="1" t="s">
        <v>584</v>
      </c>
      <c r="D261" s="1" t="s">
        <v>585</v>
      </c>
      <c r="E261" s="1">
        <v>1</v>
      </c>
      <c r="F261" s="1" t="s">
        <v>595</v>
      </c>
      <c r="G261" s="4">
        <v>4</v>
      </c>
      <c r="H261" s="5">
        <v>74</v>
      </c>
      <c r="I261" s="5">
        <v>73</v>
      </c>
      <c r="J261" s="5">
        <v>54</v>
      </c>
      <c r="K261" s="5">
        <v>63</v>
      </c>
      <c r="L261" s="5">
        <v>70</v>
      </c>
      <c r="M261" s="5">
        <v>79</v>
      </c>
      <c r="N261" s="6">
        <f>ROUND(H261*35%+I261*45%+VLOOKUP(G261,规则与说明!$A$6:$B$11,2,FALSE)*20%,1)</f>
        <v>72.8</v>
      </c>
      <c r="O261" s="6">
        <f>ROUND(H261*45%+I261*10%+VLOOKUP(G261,规则与说明!$A$6:$B$11,2,FALSE)*45%,1)</f>
        <v>72.099999999999994</v>
      </c>
      <c r="P261" s="7" t="s">
        <v>46</v>
      </c>
      <c r="Q261" s="1" t="s">
        <v>38</v>
      </c>
      <c r="R261" s="1" t="s">
        <v>587</v>
      </c>
    </row>
    <row r="262" spans="1:18" ht="15" hidden="1">
      <c r="A262" s="3">
        <v>258</v>
      </c>
      <c r="B262" s="1" t="s">
        <v>596</v>
      </c>
      <c r="C262" s="1" t="s">
        <v>584</v>
      </c>
      <c r="D262" s="1" t="s">
        <v>585</v>
      </c>
      <c r="E262" s="1">
        <v>1</v>
      </c>
      <c r="F262" s="1" t="s">
        <v>597</v>
      </c>
      <c r="G262" s="4">
        <v>4</v>
      </c>
      <c r="H262" s="5">
        <v>76</v>
      </c>
      <c r="I262" s="5">
        <v>74</v>
      </c>
      <c r="J262" s="5">
        <v>53</v>
      </c>
      <c r="K262" s="5">
        <v>63</v>
      </c>
      <c r="L262" s="5">
        <v>69</v>
      </c>
      <c r="M262" s="5">
        <v>80</v>
      </c>
      <c r="N262" s="6">
        <f>ROUND(H262*35%+I262*45%+VLOOKUP(G262,规则与说明!$A$6:$B$11,2,FALSE)*20%,1)</f>
        <v>73.900000000000006</v>
      </c>
      <c r="O262" s="6">
        <f>ROUND(H262*45%+I262*10%+VLOOKUP(G262,规则与说明!$A$6:$B$11,2,FALSE)*45%,1)</f>
        <v>73.099999999999994</v>
      </c>
      <c r="P262" s="7" t="s">
        <v>46</v>
      </c>
      <c r="Q262" s="1" t="s">
        <v>38</v>
      </c>
      <c r="R262" s="1" t="s">
        <v>587</v>
      </c>
    </row>
    <row r="263" spans="1:18" ht="15" hidden="1">
      <c r="A263" s="3">
        <v>259</v>
      </c>
      <c r="B263" s="1" t="s">
        <v>598</v>
      </c>
      <c r="C263" s="1" t="s">
        <v>584</v>
      </c>
      <c r="D263" s="1" t="s">
        <v>585</v>
      </c>
      <c r="E263" s="1">
        <v>1</v>
      </c>
      <c r="F263" s="1" t="s">
        <v>599</v>
      </c>
      <c r="G263" s="4">
        <v>4</v>
      </c>
      <c r="H263" s="5">
        <v>74</v>
      </c>
      <c r="I263" s="5">
        <v>74</v>
      </c>
      <c r="J263" s="5">
        <v>51</v>
      </c>
      <c r="K263" s="5">
        <v>64</v>
      </c>
      <c r="L263" s="5">
        <v>70</v>
      </c>
      <c r="M263" s="5">
        <v>74</v>
      </c>
      <c r="N263" s="6">
        <f>ROUND(H263*35%+I263*45%+VLOOKUP(G263,规则与说明!$A$6:$B$11,2,FALSE)*20%,1)</f>
        <v>73.2</v>
      </c>
      <c r="O263" s="6">
        <f>ROUND(H263*45%+I263*10%+VLOOKUP(G263,规则与说明!$A$6:$B$11,2,FALSE)*45%,1)</f>
        <v>72.2</v>
      </c>
      <c r="P263" s="7" t="s">
        <v>46</v>
      </c>
      <c r="Q263" s="1" t="s">
        <v>38</v>
      </c>
      <c r="R263" s="1" t="s">
        <v>587</v>
      </c>
    </row>
    <row r="264" spans="1:18" ht="15" hidden="1">
      <c r="A264" s="3">
        <v>260</v>
      </c>
      <c r="B264" s="1" t="s">
        <v>600</v>
      </c>
      <c r="C264" s="1" t="s">
        <v>584</v>
      </c>
      <c r="D264" s="1" t="s">
        <v>585</v>
      </c>
      <c r="E264" s="1">
        <v>1</v>
      </c>
      <c r="F264" s="1" t="s">
        <v>601</v>
      </c>
      <c r="G264" s="4">
        <v>4</v>
      </c>
      <c r="H264" s="5">
        <v>76</v>
      </c>
      <c r="I264" s="5">
        <v>72</v>
      </c>
      <c r="J264" s="5">
        <v>58</v>
      </c>
      <c r="K264" s="5">
        <v>67</v>
      </c>
      <c r="L264" s="5">
        <v>70</v>
      </c>
      <c r="M264" s="5">
        <v>72</v>
      </c>
      <c r="N264" s="6">
        <f>ROUND(H264*35%+I264*45%+VLOOKUP(G264,规则与说明!$A$6:$B$11,2,FALSE)*20%,1)</f>
        <v>73</v>
      </c>
      <c r="O264" s="6">
        <f>ROUND(H264*45%+I264*10%+VLOOKUP(G264,规则与说明!$A$6:$B$11,2,FALSE)*45%,1)</f>
        <v>72.900000000000006</v>
      </c>
      <c r="P264" s="7" t="s">
        <v>46</v>
      </c>
      <c r="Q264" s="1" t="s">
        <v>25</v>
      </c>
      <c r="R264" s="1" t="s">
        <v>587</v>
      </c>
    </row>
    <row r="265" spans="1:18" ht="15" hidden="1">
      <c r="A265" s="3">
        <v>261</v>
      </c>
      <c r="B265" s="1" t="s">
        <v>602</v>
      </c>
      <c r="C265" s="1" t="s">
        <v>584</v>
      </c>
      <c r="D265" s="1" t="s">
        <v>585</v>
      </c>
      <c r="E265" s="1">
        <v>1</v>
      </c>
      <c r="F265" s="1" t="s">
        <v>603</v>
      </c>
      <c r="G265" s="4">
        <v>4</v>
      </c>
      <c r="H265" s="5">
        <v>74</v>
      </c>
      <c r="I265" s="5">
        <v>71</v>
      </c>
      <c r="J265" s="5">
        <v>54</v>
      </c>
      <c r="K265" s="5">
        <v>66</v>
      </c>
      <c r="L265" s="5">
        <v>67</v>
      </c>
      <c r="M265" s="5">
        <v>82</v>
      </c>
      <c r="N265" s="6">
        <f>ROUND(H265*35%+I265*45%+VLOOKUP(G265,规则与说明!$A$6:$B$11,2,FALSE)*20%,1)</f>
        <v>71.900000000000006</v>
      </c>
      <c r="O265" s="6">
        <f>ROUND(H265*45%+I265*10%+VLOOKUP(G265,规则与说明!$A$6:$B$11,2,FALSE)*45%,1)</f>
        <v>71.900000000000006</v>
      </c>
      <c r="P265" s="7" t="s">
        <v>46</v>
      </c>
      <c r="Q265" s="1" t="s">
        <v>38</v>
      </c>
      <c r="R265" s="1" t="s">
        <v>587</v>
      </c>
    </row>
    <row r="266" spans="1:18" ht="15" hidden="1">
      <c r="A266" s="3">
        <v>262</v>
      </c>
      <c r="B266" s="1" t="s">
        <v>604</v>
      </c>
      <c r="C266" s="1" t="s">
        <v>584</v>
      </c>
      <c r="D266" s="1" t="s">
        <v>585</v>
      </c>
      <c r="E266" s="1">
        <v>1</v>
      </c>
      <c r="F266" s="1" t="s">
        <v>605</v>
      </c>
      <c r="G266" s="4">
        <v>4</v>
      </c>
      <c r="H266" s="5">
        <v>77</v>
      </c>
      <c r="I266" s="5">
        <v>82</v>
      </c>
      <c r="J266" s="5">
        <v>56</v>
      </c>
      <c r="K266" s="5">
        <v>63</v>
      </c>
      <c r="L266" s="5">
        <v>68</v>
      </c>
      <c r="M266" s="5">
        <v>78</v>
      </c>
      <c r="N266" s="6">
        <f>ROUND(H266*35%+I266*45%+VLOOKUP(G266,规则与说明!$A$6:$B$11,2,FALSE)*20%,1)</f>
        <v>77.900000000000006</v>
      </c>
      <c r="O266" s="6">
        <f>ROUND(H266*45%+I266*10%+VLOOKUP(G266,规则与说明!$A$6:$B$11,2,FALSE)*45%,1)</f>
        <v>74.400000000000006</v>
      </c>
      <c r="P266" s="7" t="s">
        <v>46</v>
      </c>
      <c r="Q266" s="1" t="s">
        <v>25</v>
      </c>
      <c r="R266" s="1" t="s">
        <v>587</v>
      </c>
    </row>
    <row r="267" spans="1:18" ht="15" hidden="1">
      <c r="A267" s="3">
        <v>263</v>
      </c>
      <c r="B267" s="1" t="s">
        <v>606</v>
      </c>
      <c r="C267" s="1" t="s">
        <v>584</v>
      </c>
      <c r="D267" s="1" t="s">
        <v>585</v>
      </c>
      <c r="E267" s="1">
        <v>1</v>
      </c>
      <c r="F267" s="1" t="s">
        <v>607</v>
      </c>
      <c r="G267" s="4">
        <v>5</v>
      </c>
      <c r="H267" s="5">
        <v>65</v>
      </c>
      <c r="I267" s="5">
        <v>61</v>
      </c>
      <c r="J267" s="5">
        <v>42</v>
      </c>
      <c r="K267" s="5">
        <v>51</v>
      </c>
      <c r="L267" s="5">
        <v>62</v>
      </c>
      <c r="M267" s="5">
        <v>80</v>
      </c>
      <c r="N267" s="6">
        <f>ROUND(H267*35%+I267*45%+VLOOKUP(G267,规则与说明!$A$6:$B$11,2,FALSE)*20%,1)</f>
        <v>62.2</v>
      </c>
      <c r="O267" s="6">
        <f>ROUND(H267*45%+I267*10%+VLOOKUP(G267,规则与说明!$A$6:$B$11,2,FALSE)*45%,1)</f>
        <v>62.4</v>
      </c>
      <c r="P267" s="7" t="s">
        <v>91</v>
      </c>
      <c r="Q267" s="1" t="s">
        <v>38</v>
      </c>
      <c r="R267" s="1" t="s">
        <v>587</v>
      </c>
    </row>
    <row r="268" spans="1:18" ht="15" hidden="1">
      <c r="A268" s="3">
        <v>264</v>
      </c>
      <c r="B268" s="1" t="s">
        <v>608</v>
      </c>
      <c r="C268" s="1" t="s">
        <v>584</v>
      </c>
      <c r="D268" s="1" t="s">
        <v>585</v>
      </c>
      <c r="E268" s="1">
        <v>1</v>
      </c>
      <c r="F268" s="1" t="s">
        <v>609</v>
      </c>
      <c r="G268" s="4">
        <v>5</v>
      </c>
      <c r="H268" s="5">
        <v>66</v>
      </c>
      <c r="I268" s="5">
        <v>83</v>
      </c>
      <c r="J268" s="5">
        <v>42</v>
      </c>
      <c r="K268" s="5">
        <v>53</v>
      </c>
      <c r="L268" s="5">
        <v>61</v>
      </c>
      <c r="M268" s="5">
        <v>82</v>
      </c>
      <c r="N268" s="6">
        <f>ROUND(H268*35%+I268*45%+VLOOKUP(G268,规则与说明!$A$6:$B$11,2,FALSE)*20%,1)</f>
        <v>72.5</v>
      </c>
      <c r="O268" s="6">
        <f>ROUND(H268*45%+I268*10%+VLOOKUP(G268,规则与说明!$A$6:$B$11,2,FALSE)*45%,1)</f>
        <v>65</v>
      </c>
      <c r="P268" s="7" t="s">
        <v>91</v>
      </c>
      <c r="Q268" s="1" t="s">
        <v>25</v>
      </c>
      <c r="R268" s="1" t="s">
        <v>587</v>
      </c>
    </row>
    <row r="269" spans="1:18" ht="15" hidden="1">
      <c r="A269" s="3">
        <v>265</v>
      </c>
      <c r="B269" s="1" t="s">
        <v>610</v>
      </c>
      <c r="C269" s="1" t="s">
        <v>584</v>
      </c>
      <c r="D269" s="1" t="s">
        <v>585</v>
      </c>
      <c r="E269" s="1">
        <v>1</v>
      </c>
      <c r="F269" s="1" t="s">
        <v>611</v>
      </c>
      <c r="G269" s="4">
        <v>5</v>
      </c>
      <c r="H269" s="5">
        <v>64</v>
      </c>
      <c r="I269" s="5">
        <v>67</v>
      </c>
      <c r="J269" s="5">
        <v>40</v>
      </c>
      <c r="K269" s="5">
        <v>56</v>
      </c>
      <c r="L269" s="5">
        <v>65</v>
      </c>
      <c r="M269" s="5">
        <v>84</v>
      </c>
      <c r="N269" s="6">
        <f>ROUND(H269*35%+I269*45%+VLOOKUP(G269,规则与说明!$A$6:$B$11,2,FALSE)*20%,1)</f>
        <v>64.599999999999994</v>
      </c>
      <c r="O269" s="6">
        <f>ROUND(H269*45%+I269*10%+VLOOKUP(G269,规则与说明!$A$6:$B$11,2,FALSE)*45%,1)</f>
        <v>62.5</v>
      </c>
      <c r="P269" s="7" t="s">
        <v>46</v>
      </c>
      <c r="Q269" s="1" t="s">
        <v>38</v>
      </c>
      <c r="R269" s="1" t="s">
        <v>587</v>
      </c>
    </row>
    <row r="270" spans="1:18" ht="15" hidden="1">
      <c r="A270" s="3">
        <v>266</v>
      </c>
      <c r="B270" s="1" t="s">
        <v>612</v>
      </c>
      <c r="C270" s="1" t="s">
        <v>584</v>
      </c>
      <c r="D270" s="1" t="s">
        <v>585</v>
      </c>
      <c r="E270" s="1">
        <v>1</v>
      </c>
      <c r="F270" s="1" t="s">
        <v>613</v>
      </c>
      <c r="G270" s="4">
        <v>5</v>
      </c>
      <c r="H270" s="5">
        <v>64</v>
      </c>
      <c r="I270" s="5">
        <v>62</v>
      </c>
      <c r="J270" s="5">
        <v>46</v>
      </c>
      <c r="K270" s="5">
        <v>54</v>
      </c>
      <c r="L270" s="5">
        <v>61</v>
      </c>
      <c r="M270" s="5">
        <v>79</v>
      </c>
      <c r="N270" s="6">
        <f>ROUND(H270*35%+I270*45%+VLOOKUP(G270,规则与说明!$A$6:$B$11,2,FALSE)*20%,1)</f>
        <v>62.3</v>
      </c>
      <c r="O270" s="6">
        <f>ROUND(H270*45%+I270*10%+VLOOKUP(G270,规则与说明!$A$6:$B$11,2,FALSE)*45%,1)</f>
        <v>62</v>
      </c>
      <c r="P270" s="7" t="s">
        <v>91</v>
      </c>
      <c r="Q270" s="1" t="s">
        <v>38</v>
      </c>
      <c r="R270" s="1" t="s">
        <v>587</v>
      </c>
    </row>
    <row r="271" spans="1:18" ht="15" hidden="1">
      <c r="A271" s="3">
        <v>267</v>
      </c>
      <c r="B271" s="1" t="s">
        <v>614</v>
      </c>
      <c r="C271" s="1" t="s">
        <v>584</v>
      </c>
      <c r="D271" s="1" t="s">
        <v>585</v>
      </c>
      <c r="E271" s="1">
        <v>1</v>
      </c>
      <c r="F271" s="1" t="s">
        <v>615</v>
      </c>
      <c r="G271" s="4">
        <v>5</v>
      </c>
      <c r="H271" s="5">
        <v>63</v>
      </c>
      <c r="I271" s="5">
        <v>67</v>
      </c>
      <c r="J271" s="5">
        <v>44</v>
      </c>
      <c r="K271" s="5">
        <v>53</v>
      </c>
      <c r="L271" s="5">
        <v>61</v>
      </c>
      <c r="M271" s="5">
        <v>86</v>
      </c>
      <c r="N271" s="6">
        <f>ROUND(H271*35%+I271*45%+VLOOKUP(G271,规则与说明!$A$6:$B$11,2,FALSE)*20%,1)</f>
        <v>64.2</v>
      </c>
      <c r="O271" s="6">
        <f>ROUND(H271*45%+I271*10%+VLOOKUP(G271,规则与说明!$A$6:$B$11,2,FALSE)*45%,1)</f>
        <v>62.1</v>
      </c>
      <c r="P271" s="7" t="s">
        <v>91</v>
      </c>
      <c r="Q271" s="1" t="s">
        <v>38</v>
      </c>
      <c r="R271" s="1" t="s">
        <v>587</v>
      </c>
    </row>
    <row r="272" spans="1:18" ht="15" hidden="1">
      <c r="A272" s="3">
        <v>268</v>
      </c>
      <c r="B272" s="1" t="s">
        <v>616</v>
      </c>
      <c r="C272" s="1" t="s">
        <v>584</v>
      </c>
      <c r="D272" s="1" t="s">
        <v>585</v>
      </c>
      <c r="E272" s="1">
        <v>1</v>
      </c>
      <c r="F272" s="1" t="s">
        <v>617</v>
      </c>
      <c r="G272" s="4">
        <v>5</v>
      </c>
      <c r="H272" s="5">
        <v>67</v>
      </c>
      <c r="I272" s="5">
        <v>60</v>
      </c>
      <c r="J272" s="5">
        <v>43</v>
      </c>
      <c r="K272" s="5">
        <v>51</v>
      </c>
      <c r="L272" s="5">
        <v>64</v>
      </c>
      <c r="M272" s="5">
        <v>82</v>
      </c>
      <c r="N272" s="6">
        <f>ROUND(H272*35%+I272*45%+VLOOKUP(G272,规则与说明!$A$6:$B$11,2,FALSE)*20%,1)</f>
        <v>62.5</v>
      </c>
      <c r="O272" s="6">
        <f>ROUND(H272*45%+I272*10%+VLOOKUP(G272,规则与说明!$A$6:$B$11,2,FALSE)*45%,1)</f>
        <v>63.2</v>
      </c>
      <c r="P272" s="7" t="s">
        <v>46</v>
      </c>
      <c r="Q272" s="1" t="s">
        <v>38</v>
      </c>
      <c r="R272" s="1" t="s">
        <v>587</v>
      </c>
    </row>
    <row r="273" spans="1:18" ht="15" hidden="1">
      <c r="A273" s="3">
        <v>269</v>
      </c>
      <c r="B273" s="1" t="s">
        <v>618</v>
      </c>
      <c r="C273" s="1" t="s">
        <v>584</v>
      </c>
      <c r="D273" s="1" t="s">
        <v>585</v>
      </c>
      <c r="E273" s="1">
        <v>1</v>
      </c>
      <c r="F273" s="1" t="s">
        <v>619</v>
      </c>
      <c r="G273" s="4">
        <v>5</v>
      </c>
      <c r="H273" s="5">
        <v>66</v>
      </c>
      <c r="I273" s="5">
        <v>60</v>
      </c>
      <c r="J273" s="5">
        <v>41</v>
      </c>
      <c r="K273" s="5">
        <v>50</v>
      </c>
      <c r="L273" s="5">
        <v>63</v>
      </c>
      <c r="M273" s="5">
        <v>78</v>
      </c>
      <c r="N273" s="6">
        <f>ROUND(H273*35%+I273*45%+VLOOKUP(G273,规则与说明!$A$6:$B$11,2,FALSE)*20%,1)</f>
        <v>62.1</v>
      </c>
      <c r="O273" s="6">
        <f>ROUND(H273*45%+I273*10%+VLOOKUP(G273,规则与说明!$A$6:$B$11,2,FALSE)*45%,1)</f>
        <v>62.7</v>
      </c>
      <c r="P273" s="7" t="s">
        <v>46</v>
      </c>
      <c r="Q273" s="1" t="s">
        <v>38</v>
      </c>
      <c r="R273" s="1" t="s">
        <v>587</v>
      </c>
    </row>
    <row r="274" spans="1:18" ht="15" hidden="1">
      <c r="A274" s="3">
        <v>270</v>
      </c>
      <c r="B274" s="1" t="s">
        <v>620</v>
      </c>
      <c r="C274" s="1" t="s">
        <v>584</v>
      </c>
      <c r="D274" s="1" t="s">
        <v>585</v>
      </c>
      <c r="E274" s="1">
        <v>1</v>
      </c>
      <c r="F274" s="1" t="s">
        <v>621</v>
      </c>
      <c r="G274" s="4">
        <v>5</v>
      </c>
      <c r="H274" s="5">
        <v>65</v>
      </c>
      <c r="I274" s="5">
        <v>62</v>
      </c>
      <c r="J274" s="5">
        <v>42</v>
      </c>
      <c r="K274" s="5">
        <v>55</v>
      </c>
      <c r="L274" s="5">
        <v>62</v>
      </c>
      <c r="M274" s="5">
        <v>84</v>
      </c>
      <c r="N274" s="6">
        <f>ROUND(H274*35%+I274*45%+VLOOKUP(G274,规则与说明!$A$6:$B$11,2,FALSE)*20%,1)</f>
        <v>62.7</v>
      </c>
      <c r="O274" s="6">
        <f>ROUND(H274*45%+I274*10%+VLOOKUP(G274,规则与说明!$A$6:$B$11,2,FALSE)*45%,1)</f>
        <v>62.5</v>
      </c>
      <c r="P274" s="7" t="s">
        <v>91</v>
      </c>
      <c r="Q274" s="1" t="s">
        <v>38</v>
      </c>
      <c r="R274" s="1" t="s">
        <v>587</v>
      </c>
    </row>
    <row r="275" spans="1:18" ht="15" hidden="1">
      <c r="A275" s="3">
        <v>271</v>
      </c>
      <c r="B275" s="1" t="s">
        <v>622</v>
      </c>
      <c r="C275" s="1" t="s">
        <v>584</v>
      </c>
      <c r="D275" s="1" t="s">
        <v>585</v>
      </c>
      <c r="E275" s="1">
        <v>1</v>
      </c>
      <c r="F275" s="1" t="s">
        <v>623</v>
      </c>
      <c r="G275" s="4">
        <v>5</v>
      </c>
      <c r="H275" s="5">
        <v>64</v>
      </c>
      <c r="I275" s="5">
        <v>66</v>
      </c>
      <c r="J275" s="5">
        <v>46</v>
      </c>
      <c r="K275" s="5">
        <v>52</v>
      </c>
      <c r="L275" s="5">
        <v>61</v>
      </c>
      <c r="M275" s="5">
        <v>84</v>
      </c>
      <c r="N275" s="6">
        <f>ROUND(H275*35%+I275*45%+VLOOKUP(G275,规则与说明!$A$6:$B$11,2,FALSE)*20%,1)</f>
        <v>64.099999999999994</v>
      </c>
      <c r="O275" s="6">
        <f>ROUND(H275*45%+I275*10%+VLOOKUP(G275,规则与说明!$A$6:$B$11,2,FALSE)*45%,1)</f>
        <v>62.4</v>
      </c>
      <c r="P275" s="7" t="s">
        <v>91</v>
      </c>
      <c r="Q275" s="1" t="s">
        <v>38</v>
      </c>
      <c r="R275" s="1" t="s">
        <v>587</v>
      </c>
    </row>
    <row r="276" spans="1:18" ht="15" hidden="1">
      <c r="A276" s="3">
        <v>272</v>
      </c>
      <c r="B276" s="1" t="s">
        <v>624</v>
      </c>
      <c r="C276" s="1" t="s">
        <v>584</v>
      </c>
      <c r="D276" s="1" t="s">
        <v>585</v>
      </c>
      <c r="E276" s="1">
        <v>1</v>
      </c>
      <c r="F276" s="1" t="s">
        <v>625</v>
      </c>
      <c r="G276" s="4">
        <v>5</v>
      </c>
      <c r="H276" s="5">
        <v>66</v>
      </c>
      <c r="I276" s="5">
        <v>64</v>
      </c>
      <c r="J276" s="5">
        <v>40</v>
      </c>
      <c r="K276" s="5">
        <v>54</v>
      </c>
      <c r="L276" s="5">
        <v>63</v>
      </c>
      <c r="M276" s="5">
        <v>80</v>
      </c>
      <c r="N276" s="6">
        <f>ROUND(H276*35%+I276*45%+VLOOKUP(G276,规则与说明!$A$6:$B$11,2,FALSE)*20%,1)</f>
        <v>63.9</v>
      </c>
      <c r="O276" s="6">
        <f>ROUND(H276*45%+I276*10%+VLOOKUP(G276,规则与说明!$A$6:$B$11,2,FALSE)*45%,1)</f>
        <v>63.1</v>
      </c>
      <c r="P276" s="7" t="s">
        <v>46</v>
      </c>
      <c r="Q276" s="1" t="s">
        <v>38</v>
      </c>
      <c r="R276" s="1" t="s">
        <v>587</v>
      </c>
    </row>
    <row r="277" spans="1:18" ht="15" hidden="1">
      <c r="A277" s="3">
        <v>273</v>
      </c>
      <c r="B277" s="1" t="s">
        <v>626</v>
      </c>
      <c r="C277" s="1" t="s">
        <v>627</v>
      </c>
      <c r="D277" s="1" t="s">
        <v>628</v>
      </c>
      <c r="E277" s="1">
        <v>1</v>
      </c>
      <c r="F277" s="1" t="s">
        <v>629</v>
      </c>
      <c r="G277" s="4">
        <v>4</v>
      </c>
      <c r="H277" s="5">
        <v>75</v>
      </c>
      <c r="I277" s="5">
        <v>69</v>
      </c>
      <c r="J277" s="5">
        <v>53</v>
      </c>
      <c r="K277" s="5">
        <v>61</v>
      </c>
      <c r="L277" s="5">
        <v>68</v>
      </c>
      <c r="M277" s="5">
        <v>78</v>
      </c>
      <c r="N277" s="6">
        <f>ROUND(H277*35%+I277*45%+VLOOKUP(G277,规则与说明!$A$6:$B$11,2,FALSE)*20%,1)</f>
        <v>71.3</v>
      </c>
      <c r="O277" s="6">
        <f>ROUND(H277*45%+I277*10%+VLOOKUP(G277,规则与说明!$A$6:$B$11,2,FALSE)*45%,1)</f>
        <v>72.2</v>
      </c>
      <c r="P277" s="7" t="s">
        <v>46</v>
      </c>
      <c r="Q277" s="1" t="s">
        <v>38</v>
      </c>
      <c r="R277" s="1" t="s">
        <v>630</v>
      </c>
    </row>
    <row r="278" spans="1:18" ht="15" hidden="1">
      <c r="A278" s="3">
        <v>274</v>
      </c>
      <c r="B278" s="1" t="s">
        <v>631</v>
      </c>
      <c r="C278" s="1" t="s">
        <v>627</v>
      </c>
      <c r="D278" s="1" t="s">
        <v>628</v>
      </c>
      <c r="E278" s="1">
        <v>1</v>
      </c>
      <c r="F278" s="1" t="s">
        <v>632</v>
      </c>
      <c r="G278" s="4">
        <v>4</v>
      </c>
      <c r="H278" s="5">
        <v>75</v>
      </c>
      <c r="I278" s="5">
        <v>75</v>
      </c>
      <c r="J278" s="5">
        <v>53</v>
      </c>
      <c r="K278" s="5">
        <v>61</v>
      </c>
      <c r="L278" s="5">
        <v>70</v>
      </c>
      <c r="M278" s="5">
        <v>78</v>
      </c>
      <c r="N278" s="6">
        <f>ROUND(H278*35%+I278*45%+VLOOKUP(G278,规则与说明!$A$6:$B$11,2,FALSE)*20%,1)</f>
        <v>74</v>
      </c>
      <c r="O278" s="6">
        <f>ROUND(H278*45%+I278*10%+VLOOKUP(G278,规则与说明!$A$6:$B$11,2,FALSE)*45%,1)</f>
        <v>72.8</v>
      </c>
      <c r="P278" s="7" t="s">
        <v>46</v>
      </c>
      <c r="Q278" s="1" t="s">
        <v>38</v>
      </c>
      <c r="R278" s="1" t="s">
        <v>630</v>
      </c>
    </row>
    <row r="279" spans="1:18" ht="15" hidden="1">
      <c r="A279" s="3">
        <v>275</v>
      </c>
      <c r="B279" s="1" t="s">
        <v>633</v>
      </c>
      <c r="C279" s="1" t="s">
        <v>627</v>
      </c>
      <c r="D279" s="1" t="s">
        <v>628</v>
      </c>
      <c r="E279" s="1">
        <v>1</v>
      </c>
      <c r="F279" s="1" t="s">
        <v>634</v>
      </c>
      <c r="G279" s="4">
        <v>4</v>
      </c>
      <c r="H279" s="5">
        <v>72</v>
      </c>
      <c r="I279" s="5">
        <v>68</v>
      </c>
      <c r="J279" s="5">
        <v>48</v>
      </c>
      <c r="K279" s="5">
        <v>66</v>
      </c>
      <c r="L279" s="5">
        <v>70</v>
      </c>
      <c r="M279" s="5">
        <v>72</v>
      </c>
      <c r="N279" s="6">
        <f>ROUND(H279*35%+I279*45%+VLOOKUP(G279,规则与说明!$A$6:$B$11,2,FALSE)*20%,1)</f>
        <v>69.8</v>
      </c>
      <c r="O279" s="6">
        <f>ROUND(H279*45%+I279*10%+VLOOKUP(G279,规则与说明!$A$6:$B$11,2,FALSE)*45%,1)</f>
        <v>70.7</v>
      </c>
      <c r="P279" s="7" t="s">
        <v>46</v>
      </c>
      <c r="Q279" s="1" t="s">
        <v>38</v>
      </c>
      <c r="R279" s="1" t="s">
        <v>630</v>
      </c>
    </row>
    <row r="280" spans="1:18" ht="15" hidden="1">
      <c r="A280" s="3">
        <v>276</v>
      </c>
      <c r="B280" s="1" t="s">
        <v>635</v>
      </c>
      <c r="C280" s="1" t="s">
        <v>627</v>
      </c>
      <c r="D280" s="1" t="s">
        <v>628</v>
      </c>
      <c r="E280" s="1">
        <v>1</v>
      </c>
      <c r="F280" s="1" t="s">
        <v>636</v>
      </c>
      <c r="G280" s="4">
        <v>4</v>
      </c>
      <c r="H280" s="5">
        <v>74</v>
      </c>
      <c r="I280" s="5">
        <v>68</v>
      </c>
      <c r="J280" s="5">
        <v>53</v>
      </c>
      <c r="K280" s="5">
        <v>63</v>
      </c>
      <c r="L280" s="5">
        <v>67</v>
      </c>
      <c r="M280" s="5">
        <v>78</v>
      </c>
      <c r="N280" s="6">
        <f>ROUND(H280*35%+I280*45%+VLOOKUP(G280,规则与说明!$A$6:$B$11,2,FALSE)*20%,1)</f>
        <v>70.5</v>
      </c>
      <c r="O280" s="6">
        <f>ROUND(H280*45%+I280*10%+VLOOKUP(G280,规则与说明!$A$6:$B$11,2,FALSE)*45%,1)</f>
        <v>71.599999999999994</v>
      </c>
      <c r="P280" s="7" t="s">
        <v>46</v>
      </c>
      <c r="Q280" s="1" t="s">
        <v>38</v>
      </c>
      <c r="R280" s="1" t="s">
        <v>630</v>
      </c>
    </row>
    <row r="281" spans="1:18" ht="15" hidden="1">
      <c r="A281" s="3">
        <v>277</v>
      </c>
      <c r="B281" s="1" t="s">
        <v>637</v>
      </c>
      <c r="C281" s="1" t="s">
        <v>627</v>
      </c>
      <c r="D281" s="1" t="s">
        <v>628</v>
      </c>
      <c r="E281" s="1">
        <v>1</v>
      </c>
      <c r="F281" s="1" t="s">
        <v>638</v>
      </c>
      <c r="G281" s="4">
        <v>5</v>
      </c>
      <c r="H281" s="5">
        <v>65</v>
      </c>
      <c r="I281" s="5">
        <v>63</v>
      </c>
      <c r="J281" s="5">
        <v>40</v>
      </c>
      <c r="K281" s="5">
        <v>50</v>
      </c>
      <c r="L281" s="5">
        <v>63</v>
      </c>
      <c r="M281" s="5">
        <v>77</v>
      </c>
      <c r="N281" s="6">
        <f>ROUND(H281*35%+I281*45%+VLOOKUP(G281,规则与说明!$A$6:$B$11,2,FALSE)*20%,1)</f>
        <v>63.1</v>
      </c>
      <c r="O281" s="6">
        <f>ROUND(H281*45%+I281*10%+VLOOKUP(G281,规则与说明!$A$6:$B$11,2,FALSE)*45%,1)</f>
        <v>62.6</v>
      </c>
      <c r="P281" s="7" t="s">
        <v>46</v>
      </c>
      <c r="Q281" s="1" t="s">
        <v>38</v>
      </c>
      <c r="R281" s="1" t="s">
        <v>630</v>
      </c>
    </row>
    <row r="282" spans="1:18" ht="15" hidden="1">
      <c r="A282" s="3">
        <v>278</v>
      </c>
      <c r="B282" s="1" t="s">
        <v>639</v>
      </c>
      <c r="C282" s="1" t="s">
        <v>627</v>
      </c>
      <c r="D282" s="1" t="s">
        <v>628</v>
      </c>
      <c r="E282" s="1">
        <v>1</v>
      </c>
      <c r="F282" s="1" t="s">
        <v>640</v>
      </c>
      <c r="G282" s="4">
        <v>5</v>
      </c>
      <c r="H282" s="5">
        <v>64</v>
      </c>
      <c r="I282" s="5">
        <v>64</v>
      </c>
      <c r="J282" s="5">
        <v>39</v>
      </c>
      <c r="K282" s="5">
        <v>53</v>
      </c>
      <c r="L282" s="5">
        <v>61</v>
      </c>
      <c r="M282" s="5">
        <v>78</v>
      </c>
      <c r="N282" s="6">
        <f>ROUND(H282*35%+I282*45%+VLOOKUP(G282,规则与说明!$A$6:$B$11,2,FALSE)*20%,1)</f>
        <v>63.2</v>
      </c>
      <c r="O282" s="6">
        <f>ROUND(H282*45%+I282*10%+VLOOKUP(G282,规则与说明!$A$6:$B$11,2,FALSE)*45%,1)</f>
        <v>62.2</v>
      </c>
      <c r="P282" s="7" t="s">
        <v>91</v>
      </c>
      <c r="Q282" s="1" t="s">
        <v>38</v>
      </c>
      <c r="R282" s="1" t="s">
        <v>630</v>
      </c>
    </row>
    <row r="283" spans="1:18" ht="15" hidden="1">
      <c r="A283" s="3">
        <v>279</v>
      </c>
      <c r="B283" s="1" t="s">
        <v>641</v>
      </c>
      <c r="C283" s="1" t="s">
        <v>627</v>
      </c>
      <c r="D283" s="1" t="s">
        <v>628</v>
      </c>
      <c r="E283" s="1">
        <v>1</v>
      </c>
      <c r="F283" s="1" t="s">
        <v>642</v>
      </c>
      <c r="G283" s="4">
        <v>5</v>
      </c>
      <c r="H283" s="5">
        <v>66</v>
      </c>
      <c r="I283" s="5">
        <v>67</v>
      </c>
      <c r="J283" s="5">
        <v>38</v>
      </c>
      <c r="K283" s="5">
        <v>53</v>
      </c>
      <c r="L283" s="5">
        <v>62</v>
      </c>
      <c r="M283" s="5">
        <v>80</v>
      </c>
      <c r="N283" s="6">
        <f>ROUND(H283*35%+I283*45%+VLOOKUP(G283,规则与说明!$A$6:$B$11,2,FALSE)*20%,1)</f>
        <v>65.3</v>
      </c>
      <c r="O283" s="6">
        <f>ROUND(H283*45%+I283*10%+VLOOKUP(G283,规则与说明!$A$6:$B$11,2,FALSE)*45%,1)</f>
        <v>63.4</v>
      </c>
      <c r="P283" s="7" t="s">
        <v>91</v>
      </c>
      <c r="Q283" s="1" t="s">
        <v>38</v>
      </c>
      <c r="R283" s="1" t="s">
        <v>630</v>
      </c>
    </row>
    <row r="284" spans="1:18" ht="15" hidden="1">
      <c r="A284" s="3">
        <v>280</v>
      </c>
      <c r="B284" s="1" t="s">
        <v>643</v>
      </c>
      <c r="C284" s="1" t="s">
        <v>627</v>
      </c>
      <c r="D284" s="1" t="s">
        <v>628</v>
      </c>
      <c r="E284" s="1">
        <v>1</v>
      </c>
      <c r="F284" s="1" t="s">
        <v>644</v>
      </c>
      <c r="G284" s="4">
        <v>5</v>
      </c>
      <c r="H284" s="5">
        <v>66</v>
      </c>
      <c r="I284" s="5">
        <v>64</v>
      </c>
      <c r="J284" s="5">
        <v>41</v>
      </c>
      <c r="K284" s="5">
        <v>49</v>
      </c>
      <c r="L284" s="5">
        <v>62</v>
      </c>
      <c r="M284" s="5">
        <v>77</v>
      </c>
      <c r="N284" s="6">
        <f>ROUND(H284*35%+I284*45%+VLOOKUP(G284,规则与说明!$A$6:$B$11,2,FALSE)*20%,1)</f>
        <v>63.9</v>
      </c>
      <c r="O284" s="6">
        <f>ROUND(H284*45%+I284*10%+VLOOKUP(G284,规则与说明!$A$6:$B$11,2,FALSE)*45%,1)</f>
        <v>63.1</v>
      </c>
      <c r="P284" s="7" t="s">
        <v>91</v>
      </c>
      <c r="Q284" s="1" t="s">
        <v>38</v>
      </c>
      <c r="R284" s="1" t="s">
        <v>630</v>
      </c>
    </row>
    <row r="285" spans="1:18" ht="15" hidden="1">
      <c r="A285" s="3">
        <v>281</v>
      </c>
      <c r="B285" s="1" t="s">
        <v>645</v>
      </c>
      <c r="C285" s="1" t="s">
        <v>627</v>
      </c>
      <c r="D285" s="1" t="s">
        <v>628</v>
      </c>
      <c r="E285" s="1">
        <v>1</v>
      </c>
      <c r="F285" s="1" t="s">
        <v>646</v>
      </c>
      <c r="G285" s="4">
        <v>5</v>
      </c>
      <c r="H285" s="5">
        <v>62</v>
      </c>
      <c r="I285" s="5">
        <v>65</v>
      </c>
      <c r="J285" s="5">
        <v>44</v>
      </c>
      <c r="K285" s="5">
        <v>54</v>
      </c>
      <c r="L285" s="5">
        <v>65</v>
      </c>
      <c r="M285" s="5">
        <v>77</v>
      </c>
      <c r="N285" s="6">
        <f>ROUND(H285*35%+I285*45%+VLOOKUP(G285,规则与说明!$A$6:$B$11,2,FALSE)*20%,1)</f>
        <v>63</v>
      </c>
      <c r="O285" s="6">
        <f>ROUND(H285*45%+I285*10%+VLOOKUP(G285,规则与说明!$A$6:$B$11,2,FALSE)*45%,1)</f>
        <v>61.4</v>
      </c>
      <c r="P285" s="7" t="s">
        <v>46</v>
      </c>
      <c r="Q285" s="1" t="s">
        <v>38</v>
      </c>
      <c r="R285" s="1" t="s">
        <v>630</v>
      </c>
    </row>
    <row r="286" spans="1:18" ht="15" hidden="1">
      <c r="A286" s="3">
        <v>282</v>
      </c>
      <c r="B286" s="1" t="s">
        <v>647</v>
      </c>
      <c r="C286" s="1" t="s">
        <v>627</v>
      </c>
      <c r="D286" s="1" t="s">
        <v>628</v>
      </c>
      <c r="E286" s="1">
        <v>1</v>
      </c>
      <c r="F286" s="1" t="s">
        <v>648</v>
      </c>
      <c r="G286" s="4">
        <v>5</v>
      </c>
      <c r="H286" s="5">
        <v>63</v>
      </c>
      <c r="I286" s="5">
        <v>66</v>
      </c>
      <c r="J286" s="5">
        <v>39</v>
      </c>
      <c r="K286" s="5">
        <v>54</v>
      </c>
      <c r="L286" s="5">
        <v>64</v>
      </c>
      <c r="M286" s="5">
        <v>84</v>
      </c>
      <c r="N286" s="6">
        <f>ROUND(H286*35%+I286*45%+VLOOKUP(G286,规则与说明!$A$6:$B$11,2,FALSE)*20%,1)</f>
        <v>63.8</v>
      </c>
      <c r="O286" s="6">
        <f>ROUND(H286*45%+I286*10%+VLOOKUP(G286,规则与说明!$A$6:$B$11,2,FALSE)*45%,1)</f>
        <v>62</v>
      </c>
      <c r="P286" s="7" t="s">
        <v>46</v>
      </c>
      <c r="Q286" s="1" t="s">
        <v>38</v>
      </c>
      <c r="R286" s="1" t="s">
        <v>630</v>
      </c>
    </row>
    <row r="287" spans="1:18" ht="15" hidden="1">
      <c r="A287" s="3">
        <v>283</v>
      </c>
      <c r="B287" s="1" t="s">
        <v>649</v>
      </c>
      <c r="C287" s="1" t="s">
        <v>627</v>
      </c>
      <c r="D287" s="1" t="s">
        <v>628</v>
      </c>
      <c r="E287" s="1">
        <v>1</v>
      </c>
      <c r="F287" s="1" t="s">
        <v>650</v>
      </c>
      <c r="G287" s="4">
        <v>5</v>
      </c>
      <c r="H287" s="5">
        <v>62</v>
      </c>
      <c r="I287" s="5">
        <v>61</v>
      </c>
      <c r="J287" s="5">
        <v>44</v>
      </c>
      <c r="K287" s="5">
        <v>54</v>
      </c>
      <c r="L287" s="5">
        <v>64</v>
      </c>
      <c r="M287" s="5">
        <v>80</v>
      </c>
      <c r="N287" s="6">
        <f>ROUND(H287*35%+I287*45%+VLOOKUP(G287,规则与说明!$A$6:$B$11,2,FALSE)*20%,1)</f>
        <v>61.2</v>
      </c>
      <c r="O287" s="6">
        <f>ROUND(H287*45%+I287*10%+VLOOKUP(G287,规则与说明!$A$6:$B$11,2,FALSE)*45%,1)</f>
        <v>61</v>
      </c>
      <c r="P287" s="7" t="s">
        <v>46</v>
      </c>
      <c r="Q287" s="1" t="s">
        <v>38</v>
      </c>
      <c r="R287" s="1" t="s">
        <v>630</v>
      </c>
    </row>
    <row r="288" spans="1:18" ht="15" hidden="1">
      <c r="A288" s="3">
        <v>284</v>
      </c>
      <c r="B288" s="1" t="s">
        <v>651</v>
      </c>
      <c r="C288" s="1" t="s">
        <v>627</v>
      </c>
      <c r="D288" s="1" t="s">
        <v>628</v>
      </c>
      <c r="E288" s="1">
        <v>1</v>
      </c>
      <c r="F288" s="1" t="s">
        <v>652</v>
      </c>
      <c r="G288" s="4">
        <v>5</v>
      </c>
      <c r="H288" s="5">
        <v>65</v>
      </c>
      <c r="I288" s="5">
        <v>63</v>
      </c>
      <c r="J288" s="5">
        <v>40</v>
      </c>
      <c r="K288" s="5">
        <v>52</v>
      </c>
      <c r="L288" s="5">
        <v>65</v>
      </c>
      <c r="M288" s="5">
        <v>76</v>
      </c>
      <c r="N288" s="6">
        <f>ROUND(H288*35%+I288*45%+VLOOKUP(G288,规则与说明!$A$6:$B$11,2,FALSE)*20%,1)</f>
        <v>63.1</v>
      </c>
      <c r="O288" s="6">
        <f>ROUND(H288*45%+I288*10%+VLOOKUP(G288,规则与说明!$A$6:$B$11,2,FALSE)*45%,1)</f>
        <v>62.6</v>
      </c>
      <c r="P288" s="7" t="s">
        <v>46</v>
      </c>
      <c r="Q288" s="1" t="s">
        <v>38</v>
      </c>
      <c r="R288" s="1" t="s">
        <v>630</v>
      </c>
    </row>
    <row r="289" spans="1:18" ht="15" hidden="1">
      <c r="A289" s="3">
        <v>285</v>
      </c>
      <c r="B289" s="1" t="s">
        <v>653</v>
      </c>
      <c r="C289" s="1" t="s">
        <v>654</v>
      </c>
      <c r="D289" s="1" t="s">
        <v>655</v>
      </c>
      <c r="E289" s="1">
        <v>1</v>
      </c>
      <c r="F289" s="1" t="s">
        <v>656</v>
      </c>
      <c r="G289" s="4">
        <v>2</v>
      </c>
      <c r="H289" s="5">
        <v>86</v>
      </c>
      <c r="I289" s="5">
        <v>89</v>
      </c>
      <c r="J289" s="5">
        <v>73</v>
      </c>
      <c r="K289" s="5">
        <v>87</v>
      </c>
      <c r="L289" s="5">
        <v>81</v>
      </c>
      <c r="M289" s="5">
        <v>80</v>
      </c>
      <c r="N289" s="6">
        <f>ROUND(H289*35%+I289*45%+VLOOKUP(G289,规则与说明!$A$6:$B$11,2,FALSE)*20%,1)</f>
        <v>87.6</v>
      </c>
      <c r="O289" s="6">
        <f>ROUND(H289*45%+I289*10%+VLOOKUP(G289,规则与说明!$A$6:$B$11,2,FALSE)*45%,1)</f>
        <v>86.8</v>
      </c>
      <c r="P289" s="7" t="s">
        <v>46</v>
      </c>
      <c r="Q289" s="1" t="s">
        <v>38</v>
      </c>
      <c r="R289" s="1" t="s">
        <v>657</v>
      </c>
    </row>
    <row r="290" spans="1:18" ht="15" hidden="1">
      <c r="A290" s="3">
        <v>286</v>
      </c>
      <c r="B290" s="1" t="s">
        <v>658</v>
      </c>
      <c r="C290" s="1" t="s">
        <v>654</v>
      </c>
      <c r="D290" s="1" t="s">
        <v>655</v>
      </c>
      <c r="E290" s="1">
        <v>1</v>
      </c>
      <c r="F290" s="1" t="s">
        <v>659</v>
      </c>
      <c r="G290" s="4">
        <v>2</v>
      </c>
      <c r="H290" s="5">
        <v>89</v>
      </c>
      <c r="I290" s="5">
        <v>92</v>
      </c>
      <c r="J290" s="5">
        <v>76</v>
      </c>
      <c r="K290" s="5">
        <v>84</v>
      </c>
      <c r="L290" s="5">
        <v>78</v>
      </c>
      <c r="M290" s="5">
        <v>86</v>
      </c>
      <c r="N290" s="6">
        <f>ROUND(H290*35%+I290*45%+VLOOKUP(G290,规则与说明!$A$6:$B$11,2,FALSE)*20%,1)</f>
        <v>90</v>
      </c>
      <c r="O290" s="6">
        <f>ROUND(H290*45%+I290*10%+VLOOKUP(G290,规则与说明!$A$6:$B$11,2,FALSE)*45%,1)</f>
        <v>88.4</v>
      </c>
      <c r="P290" s="7" t="s">
        <v>403</v>
      </c>
      <c r="Q290" s="1" t="s">
        <v>25</v>
      </c>
      <c r="R290" s="1" t="s">
        <v>657</v>
      </c>
    </row>
    <row r="291" spans="1:18" ht="15" hidden="1">
      <c r="A291" s="3">
        <v>287</v>
      </c>
      <c r="B291" s="1" t="s">
        <v>660</v>
      </c>
      <c r="C291" s="1" t="s">
        <v>654</v>
      </c>
      <c r="D291" s="1" t="s">
        <v>655</v>
      </c>
      <c r="E291" s="1">
        <v>1</v>
      </c>
      <c r="F291" s="1" t="s">
        <v>661</v>
      </c>
      <c r="G291" s="4">
        <v>3</v>
      </c>
      <c r="H291" s="5">
        <v>82</v>
      </c>
      <c r="I291" s="5">
        <v>89</v>
      </c>
      <c r="J291" s="5">
        <v>64</v>
      </c>
      <c r="K291" s="5">
        <v>78</v>
      </c>
      <c r="L291" s="5">
        <v>77</v>
      </c>
      <c r="M291" s="5">
        <v>77</v>
      </c>
      <c r="N291" s="6">
        <f>ROUND(H291*35%+I291*45%+VLOOKUP(G291,规则与说明!$A$6:$B$11,2,FALSE)*20%,1)</f>
        <v>84.6</v>
      </c>
      <c r="O291" s="6">
        <f>ROUND(H291*45%+I291*10%+VLOOKUP(G291,规则与说明!$A$6:$B$11,2,FALSE)*45%,1)</f>
        <v>81.400000000000006</v>
      </c>
      <c r="P291" s="7" t="s">
        <v>46</v>
      </c>
      <c r="Q291" s="1" t="s">
        <v>38</v>
      </c>
      <c r="R291" s="1" t="s">
        <v>657</v>
      </c>
    </row>
    <row r="292" spans="1:18" ht="15" hidden="1">
      <c r="A292" s="3">
        <v>288</v>
      </c>
      <c r="B292" s="1" t="s">
        <v>662</v>
      </c>
      <c r="C292" s="1" t="s">
        <v>654</v>
      </c>
      <c r="D292" s="1" t="s">
        <v>655</v>
      </c>
      <c r="E292" s="1">
        <v>1</v>
      </c>
      <c r="F292" s="1" t="s">
        <v>663</v>
      </c>
      <c r="G292" s="4">
        <v>3</v>
      </c>
      <c r="H292" s="5">
        <v>80</v>
      </c>
      <c r="I292" s="5">
        <v>81</v>
      </c>
      <c r="J292" s="5">
        <v>63</v>
      </c>
      <c r="K292" s="5">
        <v>77</v>
      </c>
      <c r="L292" s="5">
        <v>77</v>
      </c>
      <c r="M292" s="5">
        <v>79</v>
      </c>
      <c r="N292" s="6">
        <f>ROUND(H292*35%+I292*45%+VLOOKUP(G292,规则与说明!$A$6:$B$11,2,FALSE)*20%,1)</f>
        <v>80.3</v>
      </c>
      <c r="O292" s="6">
        <f>ROUND(H292*45%+I292*10%+VLOOKUP(G292,规则与说明!$A$6:$B$11,2,FALSE)*45%,1)</f>
        <v>79.7</v>
      </c>
      <c r="P292" s="7" t="s">
        <v>46</v>
      </c>
      <c r="Q292" s="1" t="s">
        <v>38</v>
      </c>
      <c r="R292" s="1" t="s">
        <v>657</v>
      </c>
    </row>
    <row r="293" spans="1:18" ht="15" hidden="1">
      <c r="A293" s="3">
        <v>289</v>
      </c>
      <c r="B293" s="1" t="s">
        <v>664</v>
      </c>
      <c r="C293" s="1" t="s">
        <v>654</v>
      </c>
      <c r="D293" s="1" t="s">
        <v>655</v>
      </c>
      <c r="E293" s="1">
        <v>1</v>
      </c>
      <c r="F293" s="1" t="s">
        <v>665</v>
      </c>
      <c r="G293" s="4">
        <v>3</v>
      </c>
      <c r="H293" s="5">
        <v>81</v>
      </c>
      <c r="I293" s="5">
        <v>82</v>
      </c>
      <c r="J293" s="5">
        <v>67</v>
      </c>
      <c r="K293" s="5">
        <v>76</v>
      </c>
      <c r="L293" s="5">
        <v>75</v>
      </c>
      <c r="M293" s="5">
        <v>74</v>
      </c>
      <c r="N293" s="6">
        <f>ROUND(H293*35%+I293*45%+VLOOKUP(G293,规则与说明!$A$6:$B$11,2,FALSE)*20%,1)</f>
        <v>81.099999999999994</v>
      </c>
      <c r="O293" s="6">
        <f>ROUND(H293*45%+I293*10%+VLOOKUP(G293,规则与说明!$A$6:$B$11,2,FALSE)*45%,1)</f>
        <v>80.2</v>
      </c>
      <c r="P293" s="7" t="s">
        <v>46</v>
      </c>
      <c r="Q293" s="1" t="s">
        <v>38</v>
      </c>
      <c r="R293" s="1" t="s">
        <v>657</v>
      </c>
    </row>
    <row r="294" spans="1:18" ht="15" hidden="1">
      <c r="A294" s="3">
        <v>290</v>
      </c>
      <c r="B294" s="1" t="s">
        <v>666</v>
      </c>
      <c r="C294" s="1" t="s">
        <v>654</v>
      </c>
      <c r="D294" s="1" t="s">
        <v>655</v>
      </c>
      <c r="E294" s="1">
        <v>1</v>
      </c>
      <c r="F294" s="1" t="s">
        <v>667</v>
      </c>
      <c r="G294" s="4">
        <v>3</v>
      </c>
      <c r="H294" s="5">
        <v>79</v>
      </c>
      <c r="I294" s="5">
        <v>86</v>
      </c>
      <c r="J294" s="5">
        <v>65</v>
      </c>
      <c r="K294" s="5">
        <v>77</v>
      </c>
      <c r="L294" s="5">
        <v>77</v>
      </c>
      <c r="M294" s="5">
        <v>82</v>
      </c>
      <c r="N294" s="6">
        <f>ROUND(H294*35%+I294*45%+VLOOKUP(G294,规则与说明!$A$6:$B$11,2,FALSE)*20%,1)</f>
        <v>82.2</v>
      </c>
      <c r="O294" s="6">
        <f>ROUND(H294*45%+I294*10%+VLOOKUP(G294,规则与说明!$A$6:$B$11,2,FALSE)*45%,1)</f>
        <v>79.7</v>
      </c>
      <c r="P294" s="7" t="s">
        <v>46</v>
      </c>
      <c r="Q294" s="1" t="s">
        <v>38</v>
      </c>
      <c r="R294" s="1" t="s">
        <v>657</v>
      </c>
    </row>
    <row r="295" spans="1:18" ht="15" hidden="1">
      <c r="A295" s="3">
        <v>291</v>
      </c>
      <c r="B295" s="1" t="s">
        <v>668</v>
      </c>
      <c r="C295" s="1" t="s">
        <v>654</v>
      </c>
      <c r="D295" s="1" t="s">
        <v>655</v>
      </c>
      <c r="E295" s="1">
        <v>1</v>
      </c>
      <c r="F295" s="1" t="s">
        <v>669</v>
      </c>
      <c r="G295" s="4">
        <v>3</v>
      </c>
      <c r="H295" s="5">
        <v>83</v>
      </c>
      <c r="I295" s="5">
        <v>86</v>
      </c>
      <c r="J295" s="5">
        <v>65</v>
      </c>
      <c r="K295" s="5">
        <v>75</v>
      </c>
      <c r="L295" s="5">
        <v>75</v>
      </c>
      <c r="M295" s="5">
        <v>78</v>
      </c>
      <c r="N295" s="6">
        <f>ROUND(H295*35%+I295*45%+VLOOKUP(G295,规则与说明!$A$6:$B$11,2,FALSE)*20%,1)</f>
        <v>83.6</v>
      </c>
      <c r="O295" s="6">
        <f>ROUND(H295*45%+I295*10%+VLOOKUP(G295,规则与说明!$A$6:$B$11,2,FALSE)*45%,1)</f>
        <v>81.5</v>
      </c>
      <c r="P295" s="7" t="s">
        <v>46</v>
      </c>
      <c r="Q295" s="1" t="s">
        <v>38</v>
      </c>
      <c r="R295" s="1" t="s">
        <v>657</v>
      </c>
    </row>
    <row r="296" spans="1:18" ht="15" hidden="1">
      <c r="A296" s="3">
        <v>292</v>
      </c>
      <c r="B296" s="1" t="s">
        <v>670</v>
      </c>
      <c r="C296" s="1" t="s">
        <v>654</v>
      </c>
      <c r="D296" s="1" t="s">
        <v>655</v>
      </c>
      <c r="E296" s="1">
        <v>1</v>
      </c>
      <c r="F296" s="1" t="s">
        <v>671</v>
      </c>
      <c r="G296" s="4">
        <v>3</v>
      </c>
      <c r="H296" s="5">
        <v>80</v>
      </c>
      <c r="I296" s="5">
        <v>83</v>
      </c>
      <c r="J296" s="5">
        <v>61</v>
      </c>
      <c r="K296" s="5">
        <v>77</v>
      </c>
      <c r="L296" s="5">
        <v>78</v>
      </c>
      <c r="M296" s="5">
        <v>79</v>
      </c>
      <c r="N296" s="6">
        <f>ROUND(H296*35%+I296*45%+VLOOKUP(G296,规则与说明!$A$6:$B$11,2,FALSE)*20%,1)</f>
        <v>81.2</v>
      </c>
      <c r="O296" s="6">
        <f>ROUND(H296*45%+I296*10%+VLOOKUP(G296,规则与说明!$A$6:$B$11,2,FALSE)*45%,1)</f>
        <v>79.900000000000006</v>
      </c>
      <c r="P296" s="7" t="s">
        <v>46</v>
      </c>
      <c r="Q296" s="1" t="s">
        <v>38</v>
      </c>
      <c r="R296" s="1" t="s">
        <v>657</v>
      </c>
    </row>
    <row r="297" spans="1:18" ht="15" hidden="1">
      <c r="A297" s="3">
        <v>293</v>
      </c>
      <c r="B297" s="1" t="s">
        <v>672</v>
      </c>
      <c r="C297" s="1" t="s">
        <v>654</v>
      </c>
      <c r="D297" s="1" t="s">
        <v>655</v>
      </c>
      <c r="E297" s="1">
        <v>1</v>
      </c>
      <c r="F297" s="1" t="s">
        <v>673</v>
      </c>
      <c r="G297" s="4">
        <v>3</v>
      </c>
      <c r="H297" s="5">
        <v>79</v>
      </c>
      <c r="I297" s="5">
        <v>81</v>
      </c>
      <c r="J297" s="5">
        <v>67</v>
      </c>
      <c r="K297" s="5">
        <v>77</v>
      </c>
      <c r="L297" s="5">
        <v>74</v>
      </c>
      <c r="M297" s="5">
        <v>77</v>
      </c>
      <c r="N297" s="6">
        <f>ROUND(H297*35%+I297*45%+VLOOKUP(G297,规则与说明!$A$6:$B$11,2,FALSE)*20%,1)</f>
        <v>79.900000000000006</v>
      </c>
      <c r="O297" s="6">
        <f>ROUND(H297*45%+I297*10%+VLOOKUP(G297,规则与说明!$A$6:$B$11,2,FALSE)*45%,1)</f>
        <v>79.2</v>
      </c>
      <c r="P297" s="7" t="s">
        <v>46</v>
      </c>
      <c r="Q297" s="1" t="s">
        <v>38</v>
      </c>
      <c r="R297" s="1" t="s">
        <v>657</v>
      </c>
    </row>
    <row r="298" spans="1:18" ht="15" hidden="1">
      <c r="A298" s="3">
        <v>294</v>
      </c>
      <c r="B298" s="1" t="s">
        <v>674</v>
      </c>
      <c r="C298" s="1" t="s">
        <v>654</v>
      </c>
      <c r="D298" s="1" t="s">
        <v>655</v>
      </c>
      <c r="E298" s="1">
        <v>1</v>
      </c>
      <c r="F298" s="1" t="s">
        <v>675</v>
      </c>
      <c r="G298" s="4">
        <v>3</v>
      </c>
      <c r="H298" s="5">
        <v>79</v>
      </c>
      <c r="I298" s="5">
        <v>97</v>
      </c>
      <c r="J298" s="5">
        <v>61</v>
      </c>
      <c r="K298" s="5">
        <v>76</v>
      </c>
      <c r="L298" s="5">
        <v>78</v>
      </c>
      <c r="M298" s="5">
        <v>93</v>
      </c>
      <c r="N298" s="6">
        <f>ROUND(H298*35%+I298*45%+VLOOKUP(G298,规则与说明!$A$6:$B$11,2,FALSE)*20%,1)</f>
        <v>87.1</v>
      </c>
      <c r="O298" s="6">
        <f>ROUND(H298*45%+I298*10%+VLOOKUP(G298,规则与说明!$A$6:$B$11,2,FALSE)*45%,1)</f>
        <v>80.8</v>
      </c>
      <c r="P298" s="7" t="s">
        <v>132</v>
      </c>
      <c r="Q298" s="1" t="s">
        <v>25</v>
      </c>
      <c r="R298" s="1" t="s">
        <v>657</v>
      </c>
    </row>
    <row r="299" spans="1:18" ht="15" hidden="1">
      <c r="A299" s="3">
        <v>295</v>
      </c>
      <c r="B299" s="1" t="s">
        <v>676</v>
      </c>
      <c r="C299" s="1" t="s">
        <v>654</v>
      </c>
      <c r="D299" s="1" t="s">
        <v>655</v>
      </c>
      <c r="E299" s="1">
        <v>1</v>
      </c>
      <c r="F299" s="1" t="s">
        <v>677</v>
      </c>
      <c r="G299" s="4">
        <v>3</v>
      </c>
      <c r="H299" s="5">
        <v>79</v>
      </c>
      <c r="I299" s="5">
        <v>94</v>
      </c>
      <c r="J299" s="5">
        <v>62</v>
      </c>
      <c r="K299" s="5">
        <v>77</v>
      </c>
      <c r="L299" s="5">
        <v>76</v>
      </c>
      <c r="M299" s="5">
        <v>90</v>
      </c>
      <c r="N299" s="6">
        <f>ROUND(H299*35%+I299*45%+VLOOKUP(G299,规则与说明!$A$6:$B$11,2,FALSE)*20%,1)</f>
        <v>85.8</v>
      </c>
      <c r="O299" s="6">
        <f>ROUND(H299*45%+I299*10%+VLOOKUP(G299,规则与说明!$A$6:$B$11,2,FALSE)*45%,1)</f>
        <v>80.5</v>
      </c>
      <c r="P299" s="7" t="s">
        <v>132</v>
      </c>
      <c r="Q299" s="1" t="s">
        <v>25</v>
      </c>
      <c r="R299" s="1" t="s">
        <v>657</v>
      </c>
    </row>
    <row r="300" spans="1:18" ht="15" hidden="1">
      <c r="A300" s="3">
        <v>296</v>
      </c>
      <c r="B300" s="1" t="s">
        <v>678</v>
      </c>
      <c r="C300" s="1" t="s">
        <v>654</v>
      </c>
      <c r="D300" s="1" t="s">
        <v>655</v>
      </c>
      <c r="E300" s="1">
        <v>1</v>
      </c>
      <c r="F300" s="1" t="s">
        <v>679</v>
      </c>
      <c r="G300" s="4">
        <v>3</v>
      </c>
      <c r="H300" s="5">
        <v>79</v>
      </c>
      <c r="I300" s="5">
        <v>81</v>
      </c>
      <c r="J300" s="5">
        <v>65</v>
      </c>
      <c r="K300" s="5">
        <v>79</v>
      </c>
      <c r="L300" s="5">
        <v>74</v>
      </c>
      <c r="M300" s="5">
        <v>74</v>
      </c>
      <c r="N300" s="6">
        <f>ROUND(H300*35%+I300*45%+VLOOKUP(G300,规则与说明!$A$6:$B$11,2,FALSE)*20%,1)</f>
        <v>79.900000000000006</v>
      </c>
      <c r="O300" s="6">
        <f>ROUND(H300*45%+I300*10%+VLOOKUP(G300,规则与说明!$A$6:$B$11,2,FALSE)*45%,1)</f>
        <v>79.2</v>
      </c>
      <c r="P300" s="7" t="s">
        <v>46</v>
      </c>
      <c r="Q300" s="1" t="s">
        <v>38</v>
      </c>
      <c r="R300" s="1" t="s">
        <v>657</v>
      </c>
    </row>
    <row r="301" spans="1:18" ht="15" hidden="1">
      <c r="A301" s="3">
        <v>297</v>
      </c>
      <c r="B301" s="1" t="s">
        <v>680</v>
      </c>
      <c r="C301" s="1" t="s">
        <v>654</v>
      </c>
      <c r="D301" s="1" t="s">
        <v>655</v>
      </c>
      <c r="E301" s="1">
        <v>1</v>
      </c>
      <c r="F301" s="1" t="s">
        <v>681</v>
      </c>
      <c r="G301" s="4">
        <v>5</v>
      </c>
      <c r="H301" s="5">
        <v>65</v>
      </c>
      <c r="I301" s="5">
        <v>67</v>
      </c>
      <c r="J301" s="5">
        <v>44</v>
      </c>
      <c r="K301" s="5">
        <v>54</v>
      </c>
      <c r="L301" s="5">
        <v>62</v>
      </c>
      <c r="M301" s="5">
        <v>83</v>
      </c>
      <c r="N301" s="6">
        <f>ROUND(H301*35%+I301*45%+VLOOKUP(G301,规则与说明!$A$6:$B$11,2,FALSE)*20%,1)</f>
        <v>64.900000000000006</v>
      </c>
      <c r="O301" s="6">
        <f>ROUND(H301*45%+I301*10%+VLOOKUP(G301,规则与说明!$A$6:$B$11,2,FALSE)*45%,1)</f>
        <v>63</v>
      </c>
      <c r="P301" s="7" t="s">
        <v>91</v>
      </c>
      <c r="Q301" s="1" t="s">
        <v>38</v>
      </c>
      <c r="R301" s="1" t="s">
        <v>657</v>
      </c>
    </row>
    <row r="302" spans="1:18" ht="15" hidden="1">
      <c r="A302" s="3">
        <v>298</v>
      </c>
      <c r="B302" s="1" t="s">
        <v>682</v>
      </c>
      <c r="C302" s="1" t="s">
        <v>654</v>
      </c>
      <c r="D302" s="1" t="s">
        <v>655</v>
      </c>
      <c r="E302" s="1">
        <v>1</v>
      </c>
      <c r="F302" s="1" t="s">
        <v>683</v>
      </c>
      <c r="G302" s="4">
        <v>5</v>
      </c>
      <c r="H302" s="5">
        <v>64</v>
      </c>
      <c r="I302" s="5">
        <v>72</v>
      </c>
      <c r="J302" s="5">
        <v>42</v>
      </c>
      <c r="K302" s="5">
        <v>56</v>
      </c>
      <c r="L302" s="5">
        <v>65</v>
      </c>
      <c r="M302" s="5">
        <v>85</v>
      </c>
      <c r="N302" s="6">
        <f>ROUND(H302*35%+I302*45%+VLOOKUP(G302,规则与说明!$A$6:$B$11,2,FALSE)*20%,1)</f>
        <v>66.8</v>
      </c>
      <c r="O302" s="6">
        <f>ROUND(H302*45%+I302*10%+VLOOKUP(G302,规则与说明!$A$6:$B$11,2,FALSE)*45%,1)</f>
        <v>63</v>
      </c>
      <c r="P302" s="7" t="s">
        <v>46</v>
      </c>
      <c r="Q302" s="1" t="s">
        <v>38</v>
      </c>
      <c r="R302" s="1" t="s">
        <v>657</v>
      </c>
    </row>
    <row r="303" spans="1:18" ht="15" hidden="1">
      <c r="A303" s="3">
        <v>299</v>
      </c>
      <c r="B303" s="1" t="s">
        <v>684</v>
      </c>
      <c r="C303" s="1" t="s">
        <v>654</v>
      </c>
      <c r="D303" s="1" t="s">
        <v>655</v>
      </c>
      <c r="E303" s="1">
        <v>1</v>
      </c>
      <c r="F303" s="1" t="s">
        <v>685</v>
      </c>
      <c r="G303" s="4">
        <v>5</v>
      </c>
      <c r="H303" s="5">
        <v>61</v>
      </c>
      <c r="I303" s="5">
        <v>65</v>
      </c>
      <c r="J303" s="5">
        <v>45</v>
      </c>
      <c r="K303" s="5">
        <v>56</v>
      </c>
      <c r="L303" s="5">
        <v>61</v>
      </c>
      <c r="M303" s="5">
        <v>89</v>
      </c>
      <c r="N303" s="6">
        <f>ROUND(H303*35%+I303*45%+VLOOKUP(G303,规则与说明!$A$6:$B$11,2,FALSE)*20%,1)</f>
        <v>62.6</v>
      </c>
      <c r="O303" s="6">
        <f>ROUND(H303*45%+I303*10%+VLOOKUP(G303,规则与说明!$A$6:$B$11,2,FALSE)*45%,1)</f>
        <v>61</v>
      </c>
      <c r="P303" s="7" t="s">
        <v>206</v>
      </c>
      <c r="Q303" s="1" t="s">
        <v>38</v>
      </c>
      <c r="R303" s="1" t="s">
        <v>657</v>
      </c>
    </row>
    <row r="304" spans="1:18" ht="15" hidden="1">
      <c r="A304" s="3">
        <v>300</v>
      </c>
      <c r="B304" s="1" t="s">
        <v>686</v>
      </c>
      <c r="C304" s="1" t="s">
        <v>654</v>
      </c>
      <c r="D304" s="1" t="s">
        <v>655</v>
      </c>
      <c r="E304" s="1">
        <v>1</v>
      </c>
      <c r="F304" s="1" t="s">
        <v>687</v>
      </c>
      <c r="G304" s="4">
        <v>5</v>
      </c>
      <c r="H304" s="5">
        <v>61</v>
      </c>
      <c r="I304" s="5">
        <v>70</v>
      </c>
      <c r="J304" s="5">
        <v>45</v>
      </c>
      <c r="K304" s="5">
        <v>55</v>
      </c>
      <c r="L304" s="5">
        <v>63</v>
      </c>
      <c r="M304" s="5">
        <v>83</v>
      </c>
      <c r="N304" s="6">
        <f>ROUND(H304*35%+I304*45%+VLOOKUP(G304,规则与说明!$A$6:$B$11,2,FALSE)*20%,1)</f>
        <v>64.900000000000006</v>
      </c>
      <c r="O304" s="6">
        <f>ROUND(H304*45%+I304*10%+VLOOKUP(G304,规则与说明!$A$6:$B$11,2,FALSE)*45%,1)</f>
        <v>61.5</v>
      </c>
      <c r="P304" s="7" t="s">
        <v>46</v>
      </c>
      <c r="Q304" s="1" t="s">
        <v>38</v>
      </c>
      <c r="R304" s="1" t="s">
        <v>657</v>
      </c>
    </row>
    <row r="305" spans="1:18" ht="15" hidden="1">
      <c r="A305" s="3">
        <v>301</v>
      </c>
      <c r="B305" s="1" t="s">
        <v>688</v>
      </c>
      <c r="C305" s="1" t="s">
        <v>654</v>
      </c>
      <c r="D305" s="1" t="s">
        <v>655</v>
      </c>
      <c r="E305" s="1">
        <v>1</v>
      </c>
      <c r="F305" s="1" t="s">
        <v>689</v>
      </c>
      <c r="G305" s="4">
        <v>5</v>
      </c>
      <c r="H305" s="5">
        <v>64</v>
      </c>
      <c r="I305" s="5">
        <v>71</v>
      </c>
      <c r="J305" s="5">
        <v>44</v>
      </c>
      <c r="K305" s="5">
        <v>57</v>
      </c>
      <c r="L305" s="5">
        <v>61</v>
      </c>
      <c r="M305" s="5">
        <v>81</v>
      </c>
      <c r="N305" s="6">
        <f>ROUND(H305*35%+I305*45%+VLOOKUP(G305,规则与说明!$A$6:$B$11,2,FALSE)*20%,1)</f>
        <v>66.400000000000006</v>
      </c>
      <c r="O305" s="6">
        <f>ROUND(H305*45%+I305*10%+VLOOKUP(G305,规则与说明!$A$6:$B$11,2,FALSE)*45%,1)</f>
        <v>62.9</v>
      </c>
      <c r="P305" s="7" t="s">
        <v>91</v>
      </c>
      <c r="Q305" s="1" t="s">
        <v>38</v>
      </c>
      <c r="R305" s="1" t="s">
        <v>657</v>
      </c>
    </row>
    <row r="306" spans="1:18" ht="15" hidden="1">
      <c r="A306" s="3">
        <v>302</v>
      </c>
      <c r="B306" s="1" t="s">
        <v>690</v>
      </c>
      <c r="C306" s="1" t="s">
        <v>654</v>
      </c>
      <c r="D306" s="1" t="s">
        <v>655</v>
      </c>
      <c r="E306" s="1">
        <v>1</v>
      </c>
      <c r="F306" s="1" t="s">
        <v>691</v>
      </c>
      <c r="G306" s="4">
        <v>5</v>
      </c>
      <c r="H306" s="5">
        <v>65</v>
      </c>
      <c r="I306" s="5">
        <v>88</v>
      </c>
      <c r="J306" s="5">
        <v>44</v>
      </c>
      <c r="K306" s="5">
        <v>53</v>
      </c>
      <c r="L306" s="5">
        <v>63</v>
      </c>
      <c r="M306" s="5">
        <v>88</v>
      </c>
      <c r="N306" s="6">
        <f>ROUND(H306*35%+I306*45%+VLOOKUP(G306,规则与说明!$A$6:$B$11,2,FALSE)*20%,1)</f>
        <v>74.400000000000006</v>
      </c>
      <c r="O306" s="6">
        <f>ROUND(H306*45%+I306*10%+VLOOKUP(G306,规则与说明!$A$6:$B$11,2,FALSE)*45%,1)</f>
        <v>65.099999999999994</v>
      </c>
      <c r="P306" s="7" t="s">
        <v>410</v>
      </c>
      <c r="Q306" s="1" t="s">
        <v>25</v>
      </c>
      <c r="R306" s="1" t="s">
        <v>657</v>
      </c>
    </row>
    <row r="307" spans="1:18" ht="15" hidden="1">
      <c r="A307" s="3">
        <v>303</v>
      </c>
      <c r="B307" s="1" t="s">
        <v>692</v>
      </c>
      <c r="C307" s="1" t="s">
        <v>654</v>
      </c>
      <c r="D307" s="1" t="s">
        <v>655</v>
      </c>
      <c r="E307" s="1">
        <v>1</v>
      </c>
      <c r="F307" s="1" t="s">
        <v>693</v>
      </c>
      <c r="G307" s="4">
        <v>5</v>
      </c>
      <c r="H307" s="5">
        <v>64</v>
      </c>
      <c r="I307" s="5">
        <v>72</v>
      </c>
      <c r="J307" s="5">
        <v>42</v>
      </c>
      <c r="K307" s="5">
        <v>53</v>
      </c>
      <c r="L307" s="5">
        <v>65</v>
      </c>
      <c r="M307" s="5">
        <v>84</v>
      </c>
      <c r="N307" s="6">
        <f>ROUND(H307*35%+I307*45%+VLOOKUP(G307,规则与说明!$A$6:$B$11,2,FALSE)*20%,1)</f>
        <v>66.8</v>
      </c>
      <c r="O307" s="6">
        <f>ROUND(H307*45%+I307*10%+VLOOKUP(G307,规则与说明!$A$6:$B$11,2,FALSE)*45%,1)</f>
        <v>63</v>
      </c>
      <c r="P307" s="7" t="s">
        <v>46</v>
      </c>
      <c r="Q307" s="1" t="s">
        <v>38</v>
      </c>
      <c r="R307" s="1" t="s">
        <v>657</v>
      </c>
    </row>
    <row r="308" spans="1:18" ht="15" hidden="1">
      <c r="A308" s="3">
        <v>304</v>
      </c>
      <c r="B308" s="1" t="s">
        <v>694</v>
      </c>
      <c r="C308" s="1" t="s">
        <v>654</v>
      </c>
      <c r="D308" s="1" t="s">
        <v>655</v>
      </c>
      <c r="E308" s="1">
        <v>1</v>
      </c>
      <c r="F308" s="1" t="s">
        <v>695</v>
      </c>
      <c r="G308" s="4">
        <v>5</v>
      </c>
      <c r="H308" s="5">
        <v>62</v>
      </c>
      <c r="I308" s="5">
        <v>68</v>
      </c>
      <c r="J308" s="5">
        <v>41</v>
      </c>
      <c r="K308" s="5">
        <v>53</v>
      </c>
      <c r="L308" s="5">
        <v>62</v>
      </c>
      <c r="M308" s="5">
        <v>85</v>
      </c>
      <c r="N308" s="6">
        <f>ROUND(H308*35%+I308*45%+VLOOKUP(G308,规则与说明!$A$6:$B$11,2,FALSE)*20%,1)</f>
        <v>64.3</v>
      </c>
      <c r="O308" s="6">
        <f>ROUND(H308*45%+I308*10%+VLOOKUP(G308,规则与说明!$A$6:$B$11,2,FALSE)*45%,1)</f>
        <v>61.7</v>
      </c>
      <c r="P308" s="7" t="s">
        <v>91</v>
      </c>
      <c r="Q308" s="1" t="s">
        <v>38</v>
      </c>
      <c r="R308" s="1" t="s">
        <v>657</v>
      </c>
    </row>
    <row r="309" spans="1:18" ht="15" hidden="1">
      <c r="A309" s="3">
        <v>305</v>
      </c>
      <c r="B309" s="1" t="s">
        <v>696</v>
      </c>
      <c r="C309" s="1" t="s">
        <v>697</v>
      </c>
      <c r="D309" s="1" t="s">
        <v>698</v>
      </c>
      <c r="E309" s="1">
        <v>1</v>
      </c>
      <c r="F309" s="1" t="s">
        <v>699</v>
      </c>
      <c r="G309" s="4">
        <v>2</v>
      </c>
      <c r="H309" s="5">
        <v>86</v>
      </c>
      <c r="I309" s="5">
        <v>92</v>
      </c>
      <c r="J309" s="5">
        <v>68</v>
      </c>
      <c r="K309" s="5">
        <v>86</v>
      </c>
      <c r="L309" s="5">
        <v>78</v>
      </c>
      <c r="M309" s="5">
        <v>88</v>
      </c>
      <c r="N309" s="6">
        <f>ROUND(H309*35%+I309*45%+VLOOKUP(G309,规则与说明!$A$6:$B$11,2,FALSE)*20%,1)</f>
        <v>88.9</v>
      </c>
      <c r="O309" s="6">
        <f>ROUND(H309*45%+I309*10%+VLOOKUP(G309,规则与说明!$A$6:$B$11,2,FALSE)*45%,1)</f>
        <v>87.1</v>
      </c>
      <c r="P309" s="7" t="s">
        <v>132</v>
      </c>
      <c r="Q309" s="1" t="s">
        <v>25</v>
      </c>
      <c r="R309" s="1" t="s">
        <v>700</v>
      </c>
    </row>
    <row r="310" spans="1:18" ht="15" hidden="1">
      <c r="A310" s="3">
        <v>306</v>
      </c>
      <c r="B310" s="1" t="s">
        <v>701</v>
      </c>
      <c r="C310" s="1" t="s">
        <v>697</v>
      </c>
      <c r="D310" s="1" t="s">
        <v>698</v>
      </c>
      <c r="E310" s="1">
        <v>1</v>
      </c>
      <c r="F310" s="1" t="s">
        <v>702</v>
      </c>
      <c r="G310" s="4">
        <v>2</v>
      </c>
      <c r="H310" s="5">
        <v>85</v>
      </c>
      <c r="I310" s="5">
        <v>94</v>
      </c>
      <c r="J310" s="5">
        <v>62</v>
      </c>
      <c r="K310" s="5">
        <v>83</v>
      </c>
      <c r="L310" s="5">
        <v>78</v>
      </c>
      <c r="M310" s="5">
        <v>92</v>
      </c>
      <c r="N310" s="6">
        <f>ROUND(H310*35%+I310*45%+VLOOKUP(G310,规则与说明!$A$6:$B$11,2,FALSE)*20%,1)</f>
        <v>89.5</v>
      </c>
      <c r="O310" s="6">
        <f>ROUND(H310*45%+I310*10%+VLOOKUP(G310,规则与说明!$A$6:$B$11,2,FALSE)*45%,1)</f>
        <v>86.8</v>
      </c>
      <c r="P310" s="7" t="s">
        <v>132</v>
      </c>
      <c r="Q310" s="1" t="s">
        <v>25</v>
      </c>
      <c r="R310" s="1" t="s">
        <v>700</v>
      </c>
    </row>
    <row r="311" spans="1:18" ht="15" hidden="1">
      <c r="A311" s="3">
        <v>307</v>
      </c>
      <c r="B311" s="1" t="s">
        <v>703</v>
      </c>
      <c r="C311" s="1" t="s">
        <v>697</v>
      </c>
      <c r="D311" s="1" t="s">
        <v>698</v>
      </c>
      <c r="E311" s="1">
        <v>1</v>
      </c>
      <c r="F311" s="1" t="s">
        <v>704</v>
      </c>
      <c r="G311" s="4">
        <v>3</v>
      </c>
      <c r="H311" s="5">
        <v>80</v>
      </c>
      <c r="I311" s="5">
        <v>83</v>
      </c>
      <c r="J311" s="5">
        <v>60</v>
      </c>
      <c r="K311" s="5">
        <v>78</v>
      </c>
      <c r="L311" s="5">
        <v>75</v>
      </c>
      <c r="M311" s="5">
        <v>78</v>
      </c>
      <c r="N311" s="6">
        <f>ROUND(H311*35%+I311*45%+VLOOKUP(G311,规则与说明!$A$6:$B$11,2,FALSE)*20%,1)</f>
        <v>81.2</v>
      </c>
      <c r="O311" s="6">
        <f>ROUND(H311*45%+I311*10%+VLOOKUP(G311,规则与说明!$A$6:$B$11,2,FALSE)*45%,1)</f>
        <v>79.900000000000006</v>
      </c>
      <c r="P311" s="7" t="s">
        <v>46</v>
      </c>
      <c r="Q311" s="1" t="s">
        <v>38</v>
      </c>
      <c r="R311" s="1" t="s">
        <v>700</v>
      </c>
    </row>
    <row r="312" spans="1:18" ht="15" hidden="1">
      <c r="A312" s="3">
        <v>308</v>
      </c>
      <c r="B312" s="1" t="s">
        <v>705</v>
      </c>
      <c r="C312" s="1" t="s">
        <v>697</v>
      </c>
      <c r="D312" s="1" t="s">
        <v>698</v>
      </c>
      <c r="E312" s="1">
        <v>1</v>
      </c>
      <c r="F312" s="1" t="s">
        <v>706</v>
      </c>
      <c r="G312" s="4">
        <v>3</v>
      </c>
      <c r="H312" s="5">
        <v>79</v>
      </c>
      <c r="I312" s="5">
        <v>82</v>
      </c>
      <c r="J312" s="5">
        <v>62</v>
      </c>
      <c r="K312" s="5">
        <v>75</v>
      </c>
      <c r="L312" s="5">
        <v>75</v>
      </c>
      <c r="M312" s="5">
        <v>79</v>
      </c>
      <c r="N312" s="6">
        <f>ROUND(H312*35%+I312*45%+VLOOKUP(G312,规则与说明!$A$6:$B$11,2,FALSE)*20%,1)</f>
        <v>80.400000000000006</v>
      </c>
      <c r="O312" s="6">
        <f>ROUND(H312*45%+I312*10%+VLOOKUP(G312,规则与说明!$A$6:$B$11,2,FALSE)*45%,1)</f>
        <v>79.3</v>
      </c>
      <c r="P312" s="7" t="s">
        <v>46</v>
      </c>
      <c r="Q312" s="1" t="s">
        <v>38</v>
      </c>
      <c r="R312" s="1" t="s">
        <v>700</v>
      </c>
    </row>
    <row r="313" spans="1:18" ht="15" hidden="1">
      <c r="A313" s="3">
        <v>309</v>
      </c>
      <c r="B313" s="1" t="s">
        <v>707</v>
      </c>
      <c r="C313" s="1" t="s">
        <v>697</v>
      </c>
      <c r="D313" s="1" t="s">
        <v>698</v>
      </c>
      <c r="E313" s="1">
        <v>1</v>
      </c>
      <c r="F313" s="1" t="s">
        <v>708</v>
      </c>
      <c r="G313" s="4">
        <v>3</v>
      </c>
      <c r="H313" s="5">
        <v>80</v>
      </c>
      <c r="I313" s="5">
        <v>89</v>
      </c>
      <c r="J313" s="5">
        <v>63</v>
      </c>
      <c r="K313" s="5">
        <v>79</v>
      </c>
      <c r="L313" s="5">
        <v>76</v>
      </c>
      <c r="M313" s="5">
        <v>81</v>
      </c>
      <c r="N313" s="6">
        <f>ROUND(H313*35%+I313*45%+VLOOKUP(G313,规则与说明!$A$6:$B$11,2,FALSE)*20%,1)</f>
        <v>83.9</v>
      </c>
      <c r="O313" s="6">
        <f>ROUND(H313*45%+I313*10%+VLOOKUP(G313,规则与说明!$A$6:$B$11,2,FALSE)*45%,1)</f>
        <v>80.5</v>
      </c>
      <c r="P313" s="7" t="s">
        <v>46</v>
      </c>
      <c r="Q313" s="1" t="s">
        <v>38</v>
      </c>
      <c r="R313" s="1" t="s">
        <v>700</v>
      </c>
    </row>
    <row r="314" spans="1:18" ht="15" hidden="1">
      <c r="A314" s="3">
        <v>310</v>
      </c>
      <c r="B314" s="1" t="s">
        <v>709</v>
      </c>
      <c r="C314" s="1" t="s">
        <v>697</v>
      </c>
      <c r="D314" s="1" t="s">
        <v>698</v>
      </c>
      <c r="E314" s="1">
        <v>1</v>
      </c>
      <c r="F314" s="1" t="s">
        <v>710</v>
      </c>
      <c r="G314" s="4">
        <v>3</v>
      </c>
      <c r="H314" s="5">
        <v>81</v>
      </c>
      <c r="I314" s="5">
        <v>88</v>
      </c>
      <c r="J314" s="5">
        <v>58</v>
      </c>
      <c r="K314" s="5">
        <v>81</v>
      </c>
      <c r="L314" s="5">
        <v>75</v>
      </c>
      <c r="M314" s="5">
        <v>83</v>
      </c>
      <c r="N314" s="6">
        <f>ROUND(H314*35%+I314*45%+VLOOKUP(G314,规则与说明!$A$6:$B$11,2,FALSE)*20%,1)</f>
        <v>83.8</v>
      </c>
      <c r="O314" s="6">
        <f>ROUND(H314*45%+I314*10%+VLOOKUP(G314,规则与说明!$A$6:$B$11,2,FALSE)*45%,1)</f>
        <v>80.8</v>
      </c>
      <c r="P314" s="7" t="s">
        <v>46</v>
      </c>
      <c r="Q314" s="1" t="s">
        <v>38</v>
      </c>
      <c r="R314" s="1" t="s">
        <v>700</v>
      </c>
    </row>
    <row r="315" spans="1:18" ht="15" hidden="1">
      <c r="A315" s="3">
        <v>311</v>
      </c>
      <c r="B315" s="1" t="s">
        <v>711</v>
      </c>
      <c r="C315" s="1" t="s">
        <v>697</v>
      </c>
      <c r="D315" s="1" t="s">
        <v>698</v>
      </c>
      <c r="E315" s="1">
        <v>1</v>
      </c>
      <c r="F315" s="1" t="s">
        <v>712</v>
      </c>
      <c r="G315" s="4">
        <v>3</v>
      </c>
      <c r="H315" s="5">
        <v>79</v>
      </c>
      <c r="I315" s="5">
        <v>90</v>
      </c>
      <c r="J315" s="5">
        <v>59</v>
      </c>
      <c r="K315" s="5">
        <v>78</v>
      </c>
      <c r="L315" s="5">
        <v>74</v>
      </c>
      <c r="M315" s="5">
        <v>80</v>
      </c>
      <c r="N315" s="6">
        <f>ROUND(H315*35%+I315*45%+VLOOKUP(G315,规则与说明!$A$6:$B$11,2,FALSE)*20%,1)</f>
        <v>84</v>
      </c>
      <c r="O315" s="6">
        <f>ROUND(H315*45%+I315*10%+VLOOKUP(G315,规则与说明!$A$6:$B$11,2,FALSE)*45%,1)</f>
        <v>80.099999999999994</v>
      </c>
      <c r="P315" s="7" t="s">
        <v>403</v>
      </c>
      <c r="Q315" s="1" t="s">
        <v>38</v>
      </c>
      <c r="R315" s="1" t="s">
        <v>700</v>
      </c>
    </row>
    <row r="316" spans="1:18" ht="15" hidden="1">
      <c r="A316" s="3">
        <v>312</v>
      </c>
      <c r="B316" s="1" t="s">
        <v>713</v>
      </c>
      <c r="C316" s="1" t="s">
        <v>697</v>
      </c>
      <c r="D316" s="1" t="s">
        <v>698</v>
      </c>
      <c r="E316" s="1">
        <v>1</v>
      </c>
      <c r="F316" s="1" t="s">
        <v>714</v>
      </c>
      <c r="G316" s="4">
        <v>3</v>
      </c>
      <c r="H316" s="5">
        <v>80</v>
      </c>
      <c r="I316" s="5">
        <v>90</v>
      </c>
      <c r="J316" s="5">
        <v>63</v>
      </c>
      <c r="K316" s="5">
        <v>81</v>
      </c>
      <c r="L316" s="5">
        <v>75</v>
      </c>
      <c r="M316" s="5">
        <v>76</v>
      </c>
      <c r="N316" s="6">
        <f>ROUND(H316*35%+I316*45%+VLOOKUP(G316,规则与说明!$A$6:$B$11,2,FALSE)*20%,1)</f>
        <v>84.3</v>
      </c>
      <c r="O316" s="6">
        <f>ROUND(H316*45%+I316*10%+VLOOKUP(G316,规则与说明!$A$6:$B$11,2,FALSE)*45%,1)</f>
        <v>80.599999999999994</v>
      </c>
      <c r="P316" s="7" t="s">
        <v>403</v>
      </c>
      <c r="Q316" s="1" t="s">
        <v>38</v>
      </c>
      <c r="R316" s="1" t="s">
        <v>700</v>
      </c>
    </row>
    <row r="317" spans="1:18" ht="15" hidden="1">
      <c r="A317" s="3">
        <v>313</v>
      </c>
      <c r="B317" s="1" t="s">
        <v>715</v>
      </c>
      <c r="C317" s="1" t="s">
        <v>697</v>
      </c>
      <c r="D317" s="1" t="s">
        <v>698</v>
      </c>
      <c r="E317" s="1">
        <v>1</v>
      </c>
      <c r="F317" s="1" t="s">
        <v>716</v>
      </c>
      <c r="G317" s="4">
        <v>3</v>
      </c>
      <c r="H317" s="5">
        <v>81</v>
      </c>
      <c r="I317" s="5">
        <v>87</v>
      </c>
      <c r="J317" s="5">
        <v>59</v>
      </c>
      <c r="K317" s="5">
        <v>78</v>
      </c>
      <c r="L317" s="5">
        <v>76</v>
      </c>
      <c r="M317" s="5">
        <v>77</v>
      </c>
      <c r="N317" s="6">
        <f>ROUND(H317*35%+I317*45%+VLOOKUP(G317,规则与说明!$A$6:$B$11,2,FALSE)*20%,1)</f>
        <v>83.3</v>
      </c>
      <c r="O317" s="6">
        <f>ROUND(H317*45%+I317*10%+VLOOKUP(G317,规则与说明!$A$6:$B$11,2,FALSE)*45%,1)</f>
        <v>80.7</v>
      </c>
      <c r="P317" s="7" t="s">
        <v>46</v>
      </c>
      <c r="Q317" s="1" t="s">
        <v>38</v>
      </c>
      <c r="R317" s="1" t="s">
        <v>700</v>
      </c>
    </row>
    <row r="318" spans="1:18" ht="15" hidden="1">
      <c r="A318" s="3">
        <v>314</v>
      </c>
      <c r="B318" s="1" t="s">
        <v>717</v>
      </c>
      <c r="C318" s="1" t="s">
        <v>697</v>
      </c>
      <c r="D318" s="1" t="s">
        <v>698</v>
      </c>
      <c r="E318" s="1">
        <v>1</v>
      </c>
      <c r="F318" s="1" t="s">
        <v>718</v>
      </c>
      <c r="G318" s="4">
        <v>3</v>
      </c>
      <c r="H318" s="5">
        <v>82</v>
      </c>
      <c r="I318" s="5">
        <v>83</v>
      </c>
      <c r="J318" s="5">
        <v>61</v>
      </c>
      <c r="K318" s="5">
        <v>78</v>
      </c>
      <c r="L318" s="5">
        <v>76</v>
      </c>
      <c r="M318" s="5">
        <v>75</v>
      </c>
      <c r="N318" s="6">
        <f>ROUND(H318*35%+I318*45%+VLOOKUP(G318,规则与说明!$A$6:$B$11,2,FALSE)*20%,1)</f>
        <v>81.900000000000006</v>
      </c>
      <c r="O318" s="6">
        <f>ROUND(H318*45%+I318*10%+VLOOKUP(G318,规则与说明!$A$6:$B$11,2,FALSE)*45%,1)</f>
        <v>80.8</v>
      </c>
      <c r="P318" s="7" t="s">
        <v>46</v>
      </c>
      <c r="Q318" s="1" t="s">
        <v>38</v>
      </c>
      <c r="R318" s="1" t="s">
        <v>700</v>
      </c>
    </row>
    <row r="319" spans="1:18" ht="15" hidden="1">
      <c r="A319" s="3">
        <v>315</v>
      </c>
      <c r="B319" s="1" t="s">
        <v>719</v>
      </c>
      <c r="C319" s="1" t="s">
        <v>697</v>
      </c>
      <c r="D319" s="1" t="s">
        <v>698</v>
      </c>
      <c r="E319" s="1">
        <v>1</v>
      </c>
      <c r="F319" s="1" t="s">
        <v>720</v>
      </c>
      <c r="G319" s="4">
        <v>3</v>
      </c>
      <c r="H319" s="5">
        <v>81</v>
      </c>
      <c r="I319" s="5">
        <v>87</v>
      </c>
      <c r="J319" s="5">
        <v>63</v>
      </c>
      <c r="K319" s="5">
        <v>79</v>
      </c>
      <c r="L319" s="5">
        <v>77</v>
      </c>
      <c r="M319" s="5">
        <v>76</v>
      </c>
      <c r="N319" s="6">
        <f>ROUND(H319*35%+I319*45%+VLOOKUP(G319,规则与说明!$A$6:$B$11,2,FALSE)*20%,1)</f>
        <v>83.3</v>
      </c>
      <c r="O319" s="6">
        <f>ROUND(H319*45%+I319*10%+VLOOKUP(G319,规则与说明!$A$6:$B$11,2,FALSE)*45%,1)</f>
        <v>80.7</v>
      </c>
      <c r="P319" s="7" t="s">
        <v>46</v>
      </c>
      <c r="Q319" s="1" t="s">
        <v>38</v>
      </c>
      <c r="R319" s="1" t="s">
        <v>700</v>
      </c>
    </row>
    <row r="320" spans="1:18" ht="15" hidden="1">
      <c r="A320" s="3">
        <v>316</v>
      </c>
      <c r="B320" s="1" t="s">
        <v>721</v>
      </c>
      <c r="C320" s="1" t="s">
        <v>697</v>
      </c>
      <c r="D320" s="1" t="s">
        <v>698</v>
      </c>
      <c r="E320" s="1">
        <v>1</v>
      </c>
      <c r="F320" s="1" t="s">
        <v>722</v>
      </c>
      <c r="G320" s="4">
        <v>5</v>
      </c>
      <c r="H320" s="5">
        <v>64</v>
      </c>
      <c r="I320" s="5">
        <v>68</v>
      </c>
      <c r="J320" s="5">
        <v>41</v>
      </c>
      <c r="K320" s="5">
        <v>57</v>
      </c>
      <c r="L320" s="5">
        <v>62</v>
      </c>
      <c r="M320" s="5">
        <v>84</v>
      </c>
      <c r="N320" s="6">
        <f>ROUND(H320*35%+I320*45%+VLOOKUP(G320,规则与说明!$A$6:$B$11,2,FALSE)*20%,1)</f>
        <v>65</v>
      </c>
      <c r="O320" s="6">
        <f>ROUND(H320*45%+I320*10%+VLOOKUP(G320,规则与说明!$A$6:$B$11,2,FALSE)*45%,1)</f>
        <v>62.6</v>
      </c>
      <c r="P320" s="7" t="s">
        <v>91</v>
      </c>
      <c r="Q320" s="1" t="s">
        <v>38</v>
      </c>
      <c r="R320" s="1" t="s">
        <v>700</v>
      </c>
    </row>
    <row r="321" spans="1:18" ht="15" hidden="1">
      <c r="A321" s="3">
        <v>317</v>
      </c>
      <c r="B321" s="1" t="s">
        <v>723</v>
      </c>
      <c r="C321" s="1" t="s">
        <v>697</v>
      </c>
      <c r="D321" s="1" t="s">
        <v>698</v>
      </c>
      <c r="E321" s="1">
        <v>1</v>
      </c>
      <c r="F321" s="1" t="s">
        <v>724</v>
      </c>
      <c r="G321" s="4">
        <v>5</v>
      </c>
      <c r="H321" s="5">
        <v>64</v>
      </c>
      <c r="I321" s="5">
        <v>66</v>
      </c>
      <c r="J321" s="5">
        <v>39</v>
      </c>
      <c r="K321" s="5">
        <v>57</v>
      </c>
      <c r="L321" s="5">
        <v>63</v>
      </c>
      <c r="M321" s="5">
        <v>86</v>
      </c>
      <c r="N321" s="6">
        <f>ROUND(H321*35%+I321*45%+VLOOKUP(G321,规则与说明!$A$6:$B$11,2,FALSE)*20%,1)</f>
        <v>64.099999999999994</v>
      </c>
      <c r="O321" s="6">
        <f>ROUND(H321*45%+I321*10%+VLOOKUP(G321,规则与说明!$A$6:$B$11,2,FALSE)*45%,1)</f>
        <v>62.4</v>
      </c>
      <c r="P321" s="7" t="s">
        <v>46</v>
      </c>
      <c r="Q321" s="1" t="s">
        <v>38</v>
      </c>
      <c r="R321" s="1" t="s">
        <v>700</v>
      </c>
    </row>
    <row r="322" spans="1:18" ht="15" hidden="1">
      <c r="A322" s="3">
        <v>318</v>
      </c>
      <c r="B322" s="1" t="s">
        <v>725</v>
      </c>
      <c r="C322" s="1" t="s">
        <v>697</v>
      </c>
      <c r="D322" s="1" t="s">
        <v>698</v>
      </c>
      <c r="E322" s="1">
        <v>1</v>
      </c>
      <c r="F322" s="1" t="s">
        <v>726</v>
      </c>
      <c r="G322" s="4">
        <v>5</v>
      </c>
      <c r="H322" s="5">
        <v>64</v>
      </c>
      <c r="I322" s="5">
        <v>68</v>
      </c>
      <c r="J322" s="5">
        <v>38</v>
      </c>
      <c r="K322" s="5">
        <v>57</v>
      </c>
      <c r="L322" s="5">
        <v>61</v>
      </c>
      <c r="M322" s="5">
        <v>90</v>
      </c>
      <c r="N322" s="6">
        <f>ROUND(H322*35%+I322*45%+VLOOKUP(G322,规则与说明!$A$6:$B$11,2,FALSE)*20%,1)</f>
        <v>65</v>
      </c>
      <c r="O322" s="6">
        <f>ROUND(H322*45%+I322*10%+VLOOKUP(G322,规则与说明!$A$6:$B$11,2,FALSE)*45%,1)</f>
        <v>62.6</v>
      </c>
      <c r="P322" s="7" t="s">
        <v>206</v>
      </c>
      <c r="Q322" s="1" t="s">
        <v>38</v>
      </c>
      <c r="R322" s="1" t="s">
        <v>700</v>
      </c>
    </row>
    <row r="323" spans="1:18" ht="15" hidden="1">
      <c r="A323" s="3">
        <v>319</v>
      </c>
      <c r="B323" s="1" t="s">
        <v>727</v>
      </c>
      <c r="C323" s="1" t="s">
        <v>697</v>
      </c>
      <c r="D323" s="1" t="s">
        <v>698</v>
      </c>
      <c r="E323" s="1">
        <v>1</v>
      </c>
      <c r="F323" s="1" t="s">
        <v>728</v>
      </c>
      <c r="G323" s="4">
        <v>5</v>
      </c>
      <c r="H323" s="5">
        <v>63</v>
      </c>
      <c r="I323" s="5">
        <v>73</v>
      </c>
      <c r="J323" s="5">
        <v>36</v>
      </c>
      <c r="K323" s="5">
        <v>54</v>
      </c>
      <c r="L323" s="5">
        <v>62</v>
      </c>
      <c r="M323" s="5">
        <v>84</v>
      </c>
      <c r="N323" s="6">
        <f>ROUND(H323*35%+I323*45%+VLOOKUP(G323,规则与说明!$A$6:$B$11,2,FALSE)*20%,1)</f>
        <v>66.900000000000006</v>
      </c>
      <c r="O323" s="6">
        <f>ROUND(H323*45%+I323*10%+VLOOKUP(G323,规则与说明!$A$6:$B$11,2,FALSE)*45%,1)</f>
        <v>62.7</v>
      </c>
      <c r="P323" s="7" t="s">
        <v>91</v>
      </c>
      <c r="Q323" s="1" t="s">
        <v>38</v>
      </c>
      <c r="R323" s="1" t="s">
        <v>700</v>
      </c>
    </row>
    <row r="324" spans="1:18" ht="15" hidden="1">
      <c r="A324" s="3">
        <v>320</v>
      </c>
      <c r="B324" s="1" t="s">
        <v>729</v>
      </c>
      <c r="C324" s="1" t="s">
        <v>697</v>
      </c>
      <c r="D324" s="1" t="s">
        <v>698</v>
      </c>
      <c r="E324" s="1">
        <v>1</v>
      </c>
      <c r="F324" s="1" t="s">
        <v>730</v>
      </c>
      <c r="G324" s="4">
        <v>5</v>
      </c>
      <c r="H324" s="5">
        <v>62</v>
      </c>
      <c r="I324" s="5">
        <v>71</v>
      </c>
      <c r="J324" s="5">
        <v>36</v>
      </c>
      <c r="K324" s="5">
        <v>53</v>
      </c>
      <c r="L324" s="5">
        <v>62</v>
      </c>
      <c r="M324" s="5">
        <v>89</v>
      </c>
      <c r="N324" s="6">
        <f>ROUND(H324*35%+I324*45%+VLOOKUP(G324,规则与说明!$A$6:$B$11,2,FALSE)*20%,1)</f>
        <v>65.7</v>
      </c>
      <c r="O324" s="6">
        <f>ROUND(H324*45%+I324*10%+VLOOKUP(G324,规则与说明!$A$6:$B$11,2,FALSE)*45%,1)</f>
        <v>62</v>
      </c>
      <c r="P324" s="7" t="s">
        <v>206</v>
      </c>
      <c r="Q324" s="1" t="s">
        <v>38</v>
      </c>
      <c r="R324" s="1" t="s">
        <v>700</v>
      </c>
    </row>
    <row r="325" spans="1:18" ht="15" hidden="1">
      <c r="A325" s="3">
        <v>321</v>
      </c>
      <c r="B325" s="1" t="s">
        <v>731</v>
      </c>
      <c r="C325" s="1" t="s">
        <v>697</v>
      </c>
      <c r="D325" s="1" t="s">
        <v>698</v>
      </c>
      <c r="E325" s="1">
        <v>1</v>
      </c>
      <c r="F325" s="1" t="s">
        <v>732</v>
      </c>
      <c r="G325" s="4">
        <v>5</v>
      </c>
      <c r="H325" s="5">
        <v>64</v>
      </c>
      <c r="I325" s="5">
        <v>67</v>
      </c>
      <c r="J325" s="5">
        <v>38</v>
      </c>
      <c r="K325" s="5">
        <v>54</v>
      </c>
      <c r="L325" s="5">
        <v>63</v>
      </c>
      <c r="M325" s="5">
        <v>83</v>
      </c>
      <c r="N325" s="6">
        <f>ROUND(H325*35%+I325*45%+VLOOKUP(G325,规则与说明!$A$6:$B$11,2,FALSE)*20%,1)</f>
        <v>64.599999999999994</v>
      </c>
      <c r="O325" s="6">
        <f>ROUND(H325*45%+I325*10%+VLOOKUP(G325,规则与说明!$A$6:$B$11,2,FALSE)*45%,1)</f>
        <v>62.5</v>
      </c>
      <c r="P325" s="7" t="s">
        <v>46</v>
      </c>
      <c r="Q325" s="1" t="s">
        <v>38</v>
      </c>
      <c r="R325" s="1" t="s">
        <v>700</v>
      </c>
    </row>
    <row r="326" spans="1:18" ht="15" hidden="1">
      <c r="A326" s="3">
        <v>322</v>
      </c>
      <c r="B326" s="1" t="s">
        <v>733</v>
      </c>
      <c r="C326" s="1" t="s">
        <v>697</v>
      </c>
      <c r="D326" s="1" t="s">
        <v>698</v>
      </c>
      <c r="E326" s="1">
        <v>1</v>
      </c>
      <c r="F326" s="1" t="s">
        <v>734</v>
      </c>
      <c r="G326" s="4">
        <v>5</v>
      </c>
      <c r="H326" s="5">
        <v>63</v>
      </c>
      <c r="I326" s="5">
        <v>69</v>
      </c>
      <c r="J326" s="5">
        <v>42</v>
      </c>
      <c r="K326" s="5">
        <v>54</v>
      </c>
      <c r="L326" s="5">
        <v>63</v>
      </c>
      <c r="M326" s="5">
        <v>82</v>
      </c>
      <c r="N326" s="6">
        <f>ROUND(H326*35%+I326*45%+VLOOKUP(G326,规则与说明!$A$6:$B$11,2,FALSE)*20%,1)</f>
        <v>65.099999999999994</v>
      </c>
      <c r="O326" s="6">
        <f>ROUND(H326*45%+I326*10%+VLOOKUP(G326,规则与说明!$A$6:$B$11,2,FALSE)*45%,1)</f>
        <v>62.3</v>
      </c>
      <c r="P326" s="7" t="s">
        <v>46</v>
      </c>
      <c r="Q326" s="1" t="s">
        <v>38</v>
      </c>
      <c r="R326" s="1" t="s">
        <v>700</v>
      </c>
    </row>
    <row r="327" spans="1:18" ht="15" hidden="1">
      <c r="A327" s="3">
        <v>323</v>
      </c>
      <c r="B327" s="1" t="s">
        <v>735</v>
      </c>
      <c r="C327" s="1" t="s">
        <v>697</v>
      </c>
      <c r="D327" s="1" t="s">
        <v>698</v>
      </c>
      <c r="E327" s="1">
        <v>1</v>
      </c>
      <c r="F327" s="1" t="s">
        <v>736</v>
      </c>
      <c r="G327" s="4">
        <v>5</v>
      </c>
      <c r="H327" s="5">
        <v>63</v>
      </c>
      <c r="I327" s="5">
        <v>69</v>
      </c>
      <c r="J327" s="5">
        <v>40</v>
      </c>
      <c r="K327" s="5">
        <v>55</v>
      </c>
      <c r="L327" s="5">
        <v>62</v>
      </c>
      <c r="M327" s="5">
        <v>87</v>
      </c>
      <c r="N327" s="6">
        <f>ROUND(H327*35%+I327*45%+VLOOKUP(G327,规则与说明!$A$6:$B$11,2,FALSE)*20%,1)</f>
        <v>65.099999999999994</v>
      </c>
      <c r="O327" s="6">
        <f>ROUND(H327*45%+I327*10%+VLOOKUP(G327,规则与说明!$A$6:$B$11,2,FALSE)*45%,1)</f>
        <v>62.3</v>
      </c>
      <c r="P327" s="7" t="s">
        <v>91</v>
      </c>
      <c r="Q327" s="1" t="s">
        <v>38</v>
      </c>
      <c r="R327" s="1" t="s">
        <v>700</v>
      </c>
    </row>
    <row r="328" spans="1:18" ht="15" hidden="1">
      <c r="A328" s="3">
        <v>324</v>
      </c>
      <c r="B328" s="1" t="s">
        <v>737</v>
      </c>
      <c r="C328" s="1" t="s">
        <v>697</v>
      </c>
      <c r="D328" s="1" t="s">
        <v>698</v>
      </c>
      <c r="E328" s="1">
        <v>1</v>
      </c>
      <c r="F328" s="1" t="s">
        <v>738</v>
      </c>
      <c r="G328" s="4">
        <v>5</v>
      </c>
      <c r="H328" s="5">
        <v>64</v>
      </c>
      <c r="I328" s="5">
        <v>69</v>
      </c>
      <c r="J328" s="5">
        <v>38</v>
      </c>
      <c r="K328" s="5">
        <v>56</v>
      </c>
      <c r="L328" s="5">
        <v>62</v>
      </c>
      <c r="M328" s="5">
        <v>84</v>
      </c>
      <c r="N328" s="6">
        <f>ROUND(H328*35%+I328*45%+VLOOKUP(G328,规则与说明!$A$6:$B$11,2,FALSE)*20%,1)</f>
        <v>65.5</v>
      </c>
      <c r="O328" s="6">
        <f>ROUND(H328*45%+I328*10%+VLOOKUP(G328,规则与说明!$A$6:$B$11,2,FALSE)*45%,1)</f>
        <v>62.7</v>
      </c>
      <c r="P328" s="7" t="s">
        <v>91</v>
      </c>
      <c r="Q328" s="1" t="s">
        <v>38</v>
      </c>
      <c r="R328" s="1" t="s">
        <v>700</v>
      </c>
    </row>
    <row r="329" spans="1:18" ht="15" hidden="1">
      <c r="A329" s="3">
        <v>325</v>
      </c>
      <c r="B329" s="1" t="s">
        <v>739</v>
      </c>
      <c r="C329" s="1" t="s">
        <v>697</v>
      </c>
      <c r="D329" s="1" t="s">
        <v>698</v>
      </c>
      <c r="E329" s="1">
        <v>1</v>
      </c>
      <c r="F329" s="1" t="s">
        <v>740</v>
      </c>
      <c r="G329" s="4">
        <v>5</v>
      </c>
      <c r="H329" s="5">
        <v>60</v>
      </c>
      <c r="I329" s="5">
        <v>70</v>
      </c>
      <c r="J329" s="5">
        <v>39</v>
      </c>
      <c r="K329" s="5">
        <v>53</v>
      </c>
      <c r="L329" s="5">
        <v>65</v>
      </c>
      <c r="M329" s="5">
        <v>88</v>
      </c>
      <c r="N329" s="6">
        <f>ROUND(H329*35%+I329*45%+VLOOKUP(G329,规则与说明!$A$6:$B$11,2,FALSE)*20%,1)</f>
        <v>64.5</v>
      </c>
      <c r="O329" s="6">
        <f>ROUND(H329*45%+I329*10%+VLOOKUP(G329,规则与说明!$A$6:$B$11,2,FALSE)*45%,1)</f>
        <v>61</v>
      </c>
      <c r="P329" s="7" t="s">
        <v>410</v>
      </c>
      <c r="Q329" s="1" t="s">
        <v>38</v>
      </c>
      <c r="R329" s="1" t="s">
        <v>700</v>
      </c>
    </row>
    <row r="330" spans="1:18" ht="15" hidden="1">
      <c r="A330" s="3">
        <v>326</v>
      </c>
      <c r="B330" s="1" t="s">
        <v>741</v>
      </c>
      <c r="C330" s="1" t="s">
        <v>697</v>
      </c>
      <c r="D330" s="1" t="s">
        <v>698</v>
      </c>
      <c r="E330" s="1">
        <v>1</v>
      </c>
      <c r="F330" s="1" t="s">
        <v>742</v>
      </c>
      <c r="G330" s="4">
        <v>5</v>
      </c>
      <c r="H330" s="5">
        <v>62</v>
      </c>
      <c r="I330" s="5">
        <v>73</v>
      </c>
      <c r="J330" s="5">
        <v>38</v>
      </c>
      <c r="K330" s="5">
        <v>56</v>
      </c>
      <c r="L330" s="5">
        <v>61</v>
      </c>
      <c r="M330" s="5">
        <v>87</v>
      </c>
      <c r="N330" s="6">
        <f>ROUND(H330*35%+I330*45%+VLOOKUP(G330,规则与说明!$A$6:$B$11,2,FALSE)*20%,1)</f>
        <v>66.599999999999994</v>
      </c>
      <c r="O330" s="6">
        <f>ROUND(H330*45%+I330*10%+VLOOKUP(G330,规则与说明!$A$6:$B$11,2,FALSE)*45%,1)</f>
        <v>62.2</v>
      </c>
      <c r="P330" s="7" t="s">
        <v>91</v>
      </c>
      <c r="Q330" s="1" t="s">
        <v>38</v>
      </c>
      <c r="R330" s="1" t="s">
        <v>700</v>
      </c>
    </row>
    <row r="331" spans="1:18" ht="15" hidden="1">
      <c r="A331" s="3">
        <v>327</v>
      </c>
      <c r="B331" s="1" t="s">
        <v>743</v>
      </c>
      <c r="C331" s="1" t="s">
        <v>697</v>
      </c>
      <c r="D331" s="1" t="s">
        <v>698</v>
      </c>
      <c r="E331" s="1">
        <v>1</v>
      </c>
      <c r="F331" s="1" t="s">
        <v>744</v>
      </c>
      <c r="G331" s="4">
        <v>5</v>
      </c>
      <c r="H331" s="5">
        <v>62</v>
      </c>
      <c r="I331" s="5">
        <v>71</v>
      </c>
      <c r="J331" s="5">
        <v>39</v>
      </c>
      <c r="K331" s="5">
        <v>54</v>
      </c>
      <c r="L331" s="5">
        <v>62</v>
      </c>
      <c r="M331" s="5">
        <v>85</v>
      </c>
      <c r="N331" s="6">
        <f>ROUND(H331*35%+I331*45%+VLOOKUP(G331,规则与说明!$A$6:$B$11,2,FALSE)*20%,1)</f>
        <v>65.7</v>
      </c>
      <c r="O331" s="6">
        <f>ROUND(H331*45%+I331*10%+VLOOKUP(G331,规则与说明!$A$6:$B$11,2,FALSE)*45%,1)</f>
        <v>62</v>
      </c>
      <c r="P331" s="7" t="s">
        <v>91</v>
      </c>
      <c r="Q331" s="1" t="s">
        <v>38</v>
      </c>
      <c r="R331" s="1" t="s">
        <v>700</v>
      </c>
    </row>
    <row r="332" spans="1:18" ht="15" hidden="1">
      <c r="A332" s="3">
        <v>328</v>
      </c>
      <c r="B332" s="1" t="s">
        <v>745</v>
      </c>
      <c r="C332" s="1" t="s">
        <v>697</v>
      </c>
      <c r="D332" s="1" t="s">
        <v>698</v>
      </c>
      <c r="E332" s="1">
        <v>1</v>
      </c>
      <c r="F332" s="1" t="s">
        <v>746</v>
      </c>
      <c r="G332" s="4">
        <v>5</v>
      </c>
      <c r="H332" s="5">
        <v>64</v>
      </c>
      <c r="I332" s="5">
        <v>69</v>
      </c>
      <c r="J332" s="5">
        <v>37</v>
      </c>
      <c r="K332" s="5">
        <v>55</v>
      </c>
      <c r="L332" s="5">
        <v>62</v>
      </c>
      <c r="M332" s="5">
        <v>82</v>
      </c>
      <c r="N332" s="6">
        <f>ROUND(H332*35%+I332*45%+VLOOKUP(G332,规则与说明!$A$6:$B$11,2,FALSE)*20%,1)</f>
        <v>65.5</v>
      </c>
      <c r="O332" s="6">
        <f>ROUND(H332*45%+I332*10%+VLOOKUP(G332,规则与说明!$A$6:$B$11,2,FALSE)*45%,1)</f>
        <v>62.7</v>
      </c>
      <c r="P332" s="7" t="s">
        <v>91</v>
      </c>
      <c r="Q332" s="1" t="s">
        <v>38</v>
      </c>
      <c r="R332" s="1" t="s">
        <v>700</v>
      </c>
    </row>
    <row r="333" spans="1:18" ht="15" hidden="1">
      <c r="A333" s="3">
        <v>329</v>
      </c>
      <c r="B333" s="1" t="s">
        <v>747</v>
      </c>
      <c r="C333" s="1" t="s">
        <v>697</v>
      </c>
      <c r="D333" s="1" t="s">
        <v>698</v>
      </c>
      <c r="E333" s="1">
        <v>1</v>
      </c>
      <c r="F333" s="1" t="s">
        <v>748</v>
      </c>
      <c r="G333" s="4">
        <v>5</v>
      </c>
      <c r="H333" s="5">
        <v>61</v>
      </c>
      <c r="I333" s="5">
        <v>69</v>
      </c>
      <c r="J333" s="5">
        <v>38</v>
      </c>
      <c r="K333" s="5">
        <v>55</v>
      </c>
      <c r="L333" s="5">
        <v>61</v>
      </c>
      <c r="M333" s="5">
        <v>90</v>
      </c>
      <c r="N333" s="6">
        <f>ROUND(H333*35%+I333*45%+VLOOKUP(G333,规则与说明!$A$6:$B$11,2,FALSE)*20%,1)</f>
        <v>64.400000000000006</v>
      </c>
      <c r="O333" s="6">
        <f>ROUND(H333*45%+I333*10%+VLOOKUP(G333,规则与说明!$A$6:$B$11,2,FALSE)*45%,1)</f>
        <v>61.4</v>
      </c>
      <c r="P333" s="7" t="s">
        <v>206</v>
      </c>
      <c r="Q333" s="1" t="s">
        <v>38</v>
      </c>
      <c r="R333" s="1" t="s">
        <v>700</v>
      </c>
    </row>
    <row r="334" spans="1:18" ht="15" hidden="1">
      <c r="A334" s="3">
        <v>330</v>
      </c>
      <c r="B334" s="1" t="s">
        <v>749</v>
      </c>
      <c r="C334" s="1" t="s">
        <v>697</v>
      </c>
      <c r="D334" s="1" t="s">
        <v>698</v>
      </c>
      <c r="E334" s="1">
        <v>1</v>
      </c>
      <c r="F334" s="1" t="s">
        <v>750</v>
      </c>
      <c r="G334" s="4">
        <v>5</v>
      </c>
      <c r="H334" s="5">
        <v>63</v>
      </c>
      <c r="I334" s="5">
        <v>71</v>
      </c>
      <c r="J334" s="5">
        <v>37</v>
      </c>
      <c r="K334" s="5">
        <v>56</v>
      </c>
      <c r="L334" s="5">
        <v>61</v>
      </c>
      <c r="M334" s="5">
        <v>90</v>
      </c>
      <c r="N334" s="6">
        <f>ROUND(H334*35%+I334*45%+VLOOKUP(G334,规则与说明!$A$6:$B$11,2,FALSE)*20%,1)</f>
        <v>66</v>
      </c>
      <c r="O334" s="6">
        <f>ROUND(H334*45%+I334*10%+VLOOKUP(G334,规则与说明!$A$6:$B$11,2,FALSE)*45%,1)</f>
        <v>62.5</v>
      </c>
      <c r="P334" s="7" t="s">
        <v>206</v>
      </c>
      <c r="Q334" s="1" t="s">
        <v>38</v>
      </c>
      <c r="R334" s="1" t="s">
        <v>700</v>
      </c>
    </row>
    <row r="335" spans="1:18" ht="15" hidden="1">
      <c r="A335" s="3">
        <v>331</v>
      </c>
      <c r="B335" s="1" t="s">
        <v>751</v>
      </c>
      <c r="C335" s="1" t="s">
        <v>697</v>
      </c>
      <c r="D335" s="1" t="s">
        <v>698</v>
      </c>
      <c r="E335" s="1">
        <v>1</v>
      </c>
      <c r="F335" s="1" t="s">
        <v>752</v>
      </c>
      <c r="G335" s="4">
        <v>5</v>
      </c>
      <c r="H335" s="5">
        <v>61</v>
      </c>
      <c r="I335" s="5">
        <v>73</v>
      </c>
      <c r="J335" s="5">
        <v>38</v>
      </c>
      <c r="K335" s="5">
        <v>57</v>
      </c>
      <c r="L335" s="5">
        <v>65</v>
      </c>
      <c r="M335" s="5">
        <v>86</v>
      </c>
      <c r="N335" s="6">
        <f>ROUND(H335*35%+I335*45%+VLOOKUP(G335,规则与说明!$A$6:$B$11,2,FALSE)*20%,1)</f>
        <v>66.2</v>
      </c>
      <c r="O335" s="6">
        <f>ROUND(H335*45%+I335*10%+VLOOKUP(G335,规则与说明!$A$6:$B$11,2,FALSE)*45%,1)</f>
        <v>61.8</v>
      </c>
      <c r="P335" s="7" t="s">
        <v>46</v>
      </c>
      <c r="Q335" s="1" t="s">
        <v>38</v>
      </c>
      <c r="R335" s="1" t="s">
        <v>700</v>
      </c>
    </row>
    <row r="336" spans="1:18" ht="15" hidden="1">
      <c r="A336" s="3">
        <v>332</v>
      </c>
      <c r="B336" s="1" t="s">
        <v>753</v>
      </c>
      <c r="C336" s="1" t="s">
        <v>697</v>
      </c>
      <c r="D336" s="1" t="s">
        <v>698</v>
      </c>
      <c r="E336" s="1">
        <v>1</v>
      </c>
      <c r="F336" s="1" t="s">
        <v>754</v>
      </c>
      <c r="G336" s="4">
        <v>5</v>
      </c>
      <c r="H336" s="5">
        <v>62</v>
      </c>
      <c r="I336" s="5">
        <v>67</v>
      </c>
      <c r="J336" s="5">
        <v>36</v>
      </c>
      <c r="K336" s="5">
        <v>53</v>
      </c>
      <c r="L336" s="5">
        <v>65</v>
      </c>
      <c r="M336" s="5">
        <v>90</v>
      </c>
      <c r="N336" s="6">
        <f>ROUND(H336*35%+I336*45%+VLOOKUP(G336,规则与说明!$A$6:$B$11,2,FALSE)*20%,1)</f>
        <v>63.9</v>
      </c>
      <c r="O336" s="6">
        <f>ROUND(H336*45%+I336*10%+VLOOKUP(G336,规则与说明!$A$6:$B$11,2,FALSE)*45%,1)</f>
        <v>61.6</v>
      </c>
      <c r="P336" s="7" t="s">
        <v>410</v>
      </c>
      <c r="Q336" s="1" t="s">
        <v>38</v>
      </c>
      <c r="R336" s="1" t="s">
        <v>700</v>
      </c>
    </row>
    <row r="337" spans="1:18" ht="15" hidden="1">
      <c r="A337" s="3">
        <v>333</v>
      </c>
      <c r="B337" s="1" t="s">
        <v>755</v>
      </c>
      <c r="C337" s="1" t="s">
        <v>697</v>
      </c>
      <c r="D337" s="1" t="s">
        <v>698</v>
      </c>
      <c r="E337" s="1">
        <v>1</v>
      </c>
      <c r="F337" s="1" t="s">
        <v>756</v>
      </c>
      <c r="G337" s="4">
        <v>5</v>
      </c>
      <c r="H337" s="5">
        <v>62</v>
      </c>
      <c r="I337" s="5">
        <v>71</v>
      </c>
      <c r="J337" s="5">
        <v>36</v>
      </c>
      <c r="K337" s="5">
        <v>52</v>
      </c>
      <c r="L337" s="5">
        <v>64</v>
      </c>
      <c r="M337" s="5">
        <v>88</v>
      </c>
      <c r="N337" s="6">
        <f>ROUND(H337*35%+I337*45%+VLOOKUP(G337,规则与说明!$A$6:$B$11,2,FALSE)*20%,1)</f>
        <v>65.7</v>
      </c>
      <c r="O337" s="6">
        <f>ROUND(H337*45%+I337*10%+VLOOKUP(G337,规则与说明!$A$6:$B$11,2,FALSE)*45%,1)</f>
        <v>62</v>
      </c>
      <c r="P337" s="7" t="s">
        <v>410</v>
      </c>
      <c r="Q337" s="1" t="s">
        <v>38</v>
      </c>
      <c r="R337" s="1" t="s">
        <v>700</v>
      </c>
    </row>
    <row r="338" spans="1:18" ht="15" hidden="1">
      <c r="A338" s="3">
        <v>334</v>
      </c>
      <c r="B338" s="1" t="s">
        <v>757</v>
      </c>
      <c r="C338" s="1" t="s">
        <v>697</v>
      </c>
      <c r="D338" s="1" t="s">
        <v>698</v>
      </c>
      <c r="E338" s="1">
        <v>1</v>
      </c>
      <c r="F338" s="1" t="s">
        <v>758</v>
      </c>
      <c r="G338" s="4">
        <v>5</v>
      </c>
      <c r="H338" s="5">
        <v>60</v>
      </c>
      <c r="I338" s="5">
        <v>68</v>
      </c>
      <c r="J338" s="5">
        <v>41</v>
      </c>
      <c r="K338" s="5">
        <v>58</v>
      </c>
      <c r="L338" s="5">
        <v>62</v>
      </c>
      <c r="M338" s="5">
        <v>82</v>
      </c>
      <c r="N338" s="6">
        <f>ROUND(H338*35%+I338*45%+VLOOKUP(G338,规则与说明!$A$6:$B$11,2,FALSE)*20%,1)</f>
        <v>63.6</v>
      </c>
      <c r="O338" s="6">
        <f>ROUND(H338*45%+I338*10%+VLOOKUP(G338,规则与说明!$A$6:$B$11,2,FALSE)*45%,1)</f>
        <v>60.8</v>
      </c>
      <c r="P338" s="7" t="s">
        <v>91</v>
      </c>
      <c r="Q338" s="1" t="s">
        <v>38</v>
      </c>
      <c r="R338" s="1" t="s">
        <v>700</v>
      </c>
    </row>
    <row r="339" spans="1:18" ht="15" hidden="1">
      <c r="A339" s="3">
        <v>335</v>
      </c>
      <c r="B339" s="1" t="s">
        <v>759</v>
      </c>
      <c r="C339" s="1" t="s">
        <v>760</v>
      </c>
      <c r="D339" s="1" t="s">
        <v>761</v>
      </c>
      <c r="E339" s="1">
        <v>1</v>
      </c>
      <c r="F339" s="1" t="s">
        <v>762</v>
      </c>
      <c r="G339" s="4">
        <v>4</v>
      </c>
      <c r="H339" s="5">
        <v>74</v>
      </c>
      <c r="I339" s="5">
        <v>70</v>
      </c>
      <c r="J339" s="5">
        <v>70</v>
      </c>
      <c r="K339" s="5">
        <v>72</v>
      </c>
      <c r="L339" s="5">
        <v>70</v>
      </c>
      <c r="M339" s="5">
        <v>66</v>
      </c>
      <c r="N339" s="6">
        <f>ROUND(H339*35%+I339*45%+VLOOKUP(G339,规则与说明!$A$6:$B$11,2,FALSE)*20%,1)</f>
        <v>71.400000000000006</v>
      </c>
      <c r="O339" s="6">
        <f>ROUND(H339*45%+I339*10%+VLOOKUP(G339,规则与说明!$A$6:$B$11,2,FALSE)*45%,1)</f>
        <v>71.8</v>
      </c>
      <c r="P339" s="7" t="s">
        <v>46</v>
      </c>
      <c r="Q339" s="1" t="s">
        <v>25</v>
      </c>
      <c r="R339" s="1" t="s">
        <v>763</v>
      </c>
    </row>
    <row r="340" spans="1:18" ht="15" hidden="1">
      <c r="A340" s="3">
        <v>336</v>
      </c>
      <c r="B340" s="1" t="s">
        <v>764</v>
      </c>
      <c r="C340" s="1" t="s">
        <v>760</v>
      </c>
      <c r="D340" s="1" t="s">
        <v>761</v>
      </c>
      <c r="E340" s="1">
        <v>1</v>
      </c>
      <c r="F340" s="1" t="s">
        <v>765</v>
      </c>
      <c r="G340" s="4">
        <v>4</v>
      </c>
      <c r="H340" s="5">
        <v>75</v>
      </c>
      <c r="I340" s="5">
        <v>68</v>
      </c>
      <c r="J340" s="5">
        <v>64</v>
      </c>
      <c r="K340" s="5">
        <v>68</v>
      </c>
      <c r="L340" s="5">
        <v>68</v>
      </c>
      <c r="M340" s="5">
        <v>71</v>
      </c>
      <c r="N340" s="6">
        <f>ROUND(H340*35%+I340*45%+VLOOKUP(G340,规则与说明!$A$6:$B$11,2,FALSE)*20%,1)</f>
        <v>70.900000000000006</v>
      </c>
      <c r="O340" s="6">
        <f>ROUND(H340*45%+I340*10%+VLOOKUP(G340,规则与说明!$A$6:$B$11,2,FALSE)*45%,1)</f>
        <v>72.099999999999994</v>
      </c>
      <c r="P340" s="7" t="s">
        <v>46</v>
      </c>
      <c r="Q340" s="1" t="s">
        <v>38</v>
      </c>
      <c r="R340" s="1" t="s">
        <v>763</v>
      </c>
    </row>
    <row r="341" spans="1:18" ht="15" hidden="1">
      <c r="A341" s="3">
        <v>337</v>
      </c>
      <c r="B341" s="1" t="s">
        <v>766</v>
      </c>
      <c r="C341" s="1" t="s">
        <v>760</v>
      </c>
      <c r="D341" s="1" t="s">
        <v>761</v>
      </c>
      <c r="E341" s="1">
        <v>1</v>
      </c>
      <c r="F341" s="1" t="s">
        <v>767</v>
      </c>
      <c r="G341" s="4">
        <v>4</v>
      </c>
      <c r="H341" s="5">
        <v>74</v>
      </c>
      <c r="I341" s="5">
        <v>66</v>
      </c>
      <c r="J341" s="5">
        <v>60</v>
      </c>
      <c r="K341" s="5">
        <v>66</v>
      </c>
      <c r="L341" s="5">
        <v>71</v>
      </c>
      <c r="M341" s="5">
        <v>75</v>
      </c>
      <c r="N341" s="6">
        <f>ROUND(H341*35%+I341*45%+VLOOKUP(G341,规则与说明!$A$6:$B$11,2,FALSE)*20%,1)</f>
        <v>69.599999999999994</v>
      </c>
      <c r="O341" s="6">
        <f>ROUND(H341*45%+I341*10%+VLOOKUP(G341,规则与说明!$A$6:$B$11,2,FALSE)*45%,1)</f>
        <v>71.400000000000006</v>
      </c>
      <c r="P341" s="7" t="s">
        <v>46</v>
      </c>
      <c r="Q341" s="1" t="s">
        <v>38</v>
      </c>
      <c r="R341" s="1" t="s">
        <v>763</v>
      </c>
    </row>
    <row r="342" spans="1:18" ht="15" hidden="1">
      <c r="A342" s="3">
        <v>338</v>
      </c>
      <c r="B342" s="1" t="s">
        <v>768</v>
      </c>
      <c r="C342" s="1" t="s">
        <v>760</v>
      </c>
      <c r="D342" s="1" t="s">
        <v>761</v>
      </c>
      <c r="E342" s="1">
        <v>1</v>
      </c>
      <c r="F342" s="1" t="s">
        <v>769</v>
      </c>
      <c r="G342" s="4">
        <v>4</v>
      </c>
      <c r="H342" s="5">
        <v>74</v>
      </c>
      <c r="I342" s="5">
        <v>67</v>
      </c>
      <c r="J342" s="5">
        <v>65</v>
      </c>
      <c r="K342" s="5">
        <v>70</v>
      </c>
      <c r="L342" s="5">
        <v>68</v>
      </c>
      <c r="M342" s="5">
        <v>76</v>
      </c>
      <c r="N342" s="6">
        <f>ROUND(H342*35%+I342*45%+VLOOKUP(G342,规则与说明!$A$6:$B$11,2,FALSE)*20%,1)</f>
        <v>70.099999999999994</v>
      </c>
      <c r="O342" s="6">
        <f>ROUND(H342*45%+I342*10%+VLOOKUP(G342,规则与说明!$A$6:$B$11,2,FALSE)*45%,1)</f>
        <v>71.5</v>
      </c>
      <c r="P342" s="7" t="s">
        <v>46</v>
      </c>
      <c r="Q342" s="1" t="s">
        <v>38</v>
      </c>
      <c r="R342" s="1" t="s">
        <v>763</v>
      </c>
    </row>
    <row r="343" spans="1:18" ht="15" hidden="1">
      <c r="A343" s="3">
        <v>339</v>
      </c>
      <c r="B343" s="1" t="s">
        <v>770</v>
      </c>
      <c r="C343" s="1" t="s">
        <v>760</v>
      </c>
      <c r="D343" s="1" t="s">
        <v>761</v>
      </c>
      <c r="E343" s="1">
        <v>1</v>
      </c>
      <c r="F343" s="1" t="s">
        <v>771</v>
      </c>
      <c r="G343" s="4">
        <v>4</v>
      </c>
      <c r="H343" s="5">
        <v>65</v>
      </c>
      <c r="I343" s="5">
        <v>63</v>
      </c>
      <c r="J343" s="5">
        <v>54</v>
      </c>
      <c r="K343" s="5">
        <v>56</v>
      </c>
      <c r="L343" s="5">
        <v>63</v>
      </c>
      <c r="M343" s="5">
        <v>78</v>
      </c>
      <c r="N343" s="6">
        <f>ROUND(H343*35%+I343*45%+VLOOKUP(G343,规则与说明!$A$6:$B$11,2,FALSE)*20%,1)</f>
        <v>65.099999999999994</v>
      </c>
      <c r="O343" s="6">
        <f>ROUND(H343*45%+I343*10%+VLOOKUP(G343,规则与说明!$A$6:$B$11,2,FALSE)*45%,1)</f>
        <v>67.099999999999994</v>
      </c>
      <c r="P343" s="7" t="s">
        <v>46</v>
      </c>
      <c r="Q343" s="1" t="s">
        <v>25</v>
      </c>
      <c r="R343" s="1" t="s">
        <v>763</v>
      </c>
    </row>
    <row r="344" spans="1:18" ht="15" hidden="1">
      <c r="A344" s="3">
        <v>340</v>
      </c>
      <c r="B344" s="1" t="s">
        <v>772</v>
      </c>
      <c r="C344" s="1" t="s">
        <v>760</v>
      </c>
      <c r="D344" s="1" t="s">
        <v>761</v>
      </c>
      <c r="E344" s="1">
        <v>1</v>
      </c>
      <c r="F344" s="1" t="s">
        <v>773</v>
      </c>
      <c r="G344" s="4">
        <v>4</v>
      </c>
      <c r="H344" s="5">
        <v>74</v>
      </c>
      <c r="I344" s="5">
        <v>68</v>
      </c>
      <c r="J344" s="5">
        <v>65</v>
      </c>
      <c r="K344" s="5">
        <v>67</v>
      </c>
      <c r="L344" s="5">
        <v>72</v>
      </c>
      <c r="M344" s="5">
        <v>70</v>
      </c>
      <c r="N344" s="6">
        <f>ROUND(H344*35%+I344*45%+VLOOKUP(G344,规则与说明!$A$6:$B$11,2,FALSE)*20%,1)</f>
        <v>70.5</v>
      </c>
      <c r="O344" s="6">
        <f>ROUND(H344*45%+I344*10%+VLOOKUP(G344,规则与说明!$A$6:$B$11,2,FALSE)*45%,1)</f>
        <v>71.599999999999994</v>
      </c>
      <c r="P344" s="7" t="s">
        <v>46</v>
      </c>
      <c r="Q344" s="1" t="s">
        <v>38</v>
      </c>
      <c r="R344" s="1" t="s">
        <v>763</v>
      </c>
    </row>
    <row r="345" spans="1:18" ht="15" hidden="1">
      <c r="A345" s="3">
        <v>341</v>
      </c>
      <c r="B345" s="1" t="s">
        <v>774</v>
      </c>
      <c r="C345" s="1" t="s">
        <v>760</v>
      </c>
      <c r="D345" s="1" t="s">
        <v>761</v>
      </c>
      <c r="E345" s="1">
        <v>1</v>
      </c>
      <c r="F345" s="1" t="s">
        <v>775</v>
      </c>
      <c r="G345" s="4">
        <v>4</v>
      </c>
      <c r="H345" s="5">
        <v>75</v>
      </c>
      <c r="I345" s="5">
        <v>74</v>
      </c>
      <c r="J345" s="5">
        <v>62</v>
      </c>
      <c r="K345" s="5">
        <v>68</v>
      </c>
      <c r="L345" s="5">
        <v>71</v>
      </c>
      <c r="M345" s="5">
        <v>76</v>
      </c>
      <c r="N345" s="6">
        <f>ROUND(H345*35%+I345*45%+VLOOKUP(G345,规则与说明!$A$6:$B$11,2,FALSE)*20%,1)</f>
        <v>73.599999999999994</v>
      </c>
      <c r="O345" s="6">
        <f>ROUND(H345*45%+I345*10%+VLOOKUP(G345,规则与说明!$A$6:$B$11,2,FALSE)*45%,1)</f>
        <v>72.7</v>
      </c>
      <c r="P345" s="7" t="s">
        <v>46</v>
      </c>
      <c r="Q345" s="1" t="s">
        <v>38</v>
      </c>
      <c r="R345" s="1" t="s">
        <v>763</v>
      </c>
    </row>
    <row r="346" spans="1:18" ht="15" hidden="1">
      <c r="A346" s="3">
        <v>342</v>
      </c>
      <c r="B346" s="1" t="s">
        <v>776</v>
      </c>
      <c r="C346" s="1" t="s">
        <v>760</v>
      </c>
      <c r="D346" s="1" t="s">
        <v>761</v>
      </c>
      <c r="E346" s="1">
        <v>1</v>
      </c>
      <c r="F346" s="1" t="s">
        <v>777</v>
      </c>
      <c r="G346" s="4">
        <v>5</v>
      </c>
      <c r="H346" s="5">
        <v>65</v>
      </c>
      <c r="I346" s="5">
        <v>61</v>
      </c>
      <c r="J346" s="5">
        <v>55</v>
      </c>
      <c r="K346" s="5">
        <v>59</v>
      </c>
      <c r="L346" s="5">
        <v>66</v>
      </c>
      <c r="M346" s="5">
        <v>77</v>
      </c>
      <c r="N346" s="6">
        <f>ROUND(H346*35%+I346*45%+VLOOKUP(G346,规则与说明!$A$6:$B$11,2,FALSE)*20%,1)</f>
        <v>62.2</v>
      </c>
      <c r="O346" s="6">
        <f>ROUND(H346*45%+I346*10%+VLOOKUP(G346,规则与说明!$A$6:$B$11,2,FALSE)*45%,1)</f>
        <v>62.4</v>
      </c>
      <c r="P346" s="7" t="s">
        <v>46</v>
      </c>
      <c r="Q346" s="1" t="s">
        <v>38</v>
      </c>
      <c r="R346" s="1" t="s">
        <v>763</v>
      </c>
    </row>
    <row r="347" spans="1:18" ht="15" hidden="1">
      <c r="A347" s="3">
        <v>343</v>
      </c>
      <c r="B347" s="1" t="s">
        <v>778</v>
      </c>
      <c r="C347" s="1" t="s">
        <v>760</v>
      </c>
      <c r="D347" s="1" t="s">
        <v>761</v>
      </c>
      <c r="E347" s="1">
        <v>1</v>
      </c>
      <c r="F347" s="1" t="s">
        <v>779</v>
      </c>
      <c r="G347" s="4">
        <v>5</v>
      </c>
      <c r="H347" s="5">
        <v>64</v>
      </c>
      <c r="I347" s="5">
        <v>59</v>
      </c>
      <c r="J347" s="5">
        <v>55</v>
      </c>
      <c r="K347" s="5">
        <v>54</v>
      </c>
      <c r="L347" s="5">
        <v>62</v>
      </c>
      <c r="M347" s="5">
        <v>77</v>
      </c>
      <c r="N347" s="6">
        <f>ROUND(H347*35%+I347*45%+VLOOKUP(G347,规则与说明!$A$6:$B$11,2,FALSE)*20%,1)</f>
        <v>61</v>
      </c>
      <c r="O347" s="6">
        <f>ROUND(H347*45%+I347*10%+VLOOKUP(G347,规则与说明!$A$6:$B$11,2,FALSE)*45%,1)</f>
        <v>61.7</v>
      </c>
      <c r="P347" s="7" t="s">
        <v>91</v>
      </c>
      <c r="Q347" s="1" t="s">
        <v>38</v>
      </c>
      <c r="R347" s="1" t="s">
        <v>763</v>
      </c>
    </row>
    <row r="348" spans="1:18" ht="15" hidden="1">
      <c r="A348" s="3">
        <v>344</v>
      </c>
      <c r="B348" s="1" t="s">
        <v>780</v>
      </c>
      <c r="C348" s="1" t="s">
        <v>760</v>
      </c>
      <c r="D348" s="1" t="s">
        <v>761</v>
      </c>
      <c r="E348" s="1">
        <v>1</v>
      </c>
      <c r="F348" s="1" t="s">
        <v>781</v>
      </c>
      <c r="G348" s="4">
        <v>5</v>
      </c>
      <c r="H348" s="5">
        <v>64</v>
      </c>
      <c r="I348" s="5">
        <v>59</v>
      </c>
      <c r="J348" s="5">
        <v>56</v>
      </c>
      <c r="K348" s="5">
        <v>58</v>
      </c>
      <c r="L348" s="5">
        <v>64</v>
      </c>
      <c r="M348" s="5">
        <v>77</v>
      </c>
      <c r="N348" s="6">
        <f>ROUND(H348*35%+I348*45%+VLOOKUP(G348,规则与说明!$A$6:$B$11,2,FALSE)*20%,1)</f>
        <v>61</v>
      </c>
      <c r="O348" s="6">
        <f>ROUND(H348*45%+I348*10%+VLOOKUP(G348,规则与说明!$A$6:$B$11,2,FALSE)*45%,1)</f>
        <v>61.7</v>
      </c>
      <c r="P348" s="7" t="s">
        <v>46</v>
      </c>
      <c r="Q348" s="1" t="s">
        <v>38</v>
      </c>
      <c r="R348" s="1" t="s">
        <v>763</v>
      </c>
    </row>
    <row r="349" spans="1:18" ht="15" hidden="1">
      <c r="A349" s="3">
        <v>345</v>
      </c>
      <c r="B349" s="1" t="s">
        <v>782</v>
      </c>
      <c r="C349" s="1" t="s">
        <v>760</v>
      </c>
      <c r="D349" s="1" t="s">
        <v>761</v>
      </c>
      <c r="E349" s="1">
        <v>1</v>
      </c>
      <c r="F349" s="1" t="s">
        <v>783</v>
      </c>
      <c r="G349" s="4">
        <v>5</v>
      </c>
      <c r="H349" s="5">
        <v>64</v>
      </c>
      <c r="I349" s="5">
        <v>62</v>
      </c>
      <c r="J349" s="5">
        <v>56</v>
      </c>
      <c r="K349" s="5">
        <v>56</v>
      </c>
      <c r="L349" s="5">
        <v>64</v>
      </c>
      <c r="M349" s="5">
        <v>78</v>
      </c>
      <c r="N349" s="6">
        <f>ROUND(H349*35%+I349*45%+VLOOKUP(G349,规则与说明!$A$6:$B$11,2,FALSE)*20%,1)</f>
        <v>62.3</v>
      </c>
      <c r="O349" s="6">
        <f>ROUND(H349*45%+I349*10%+VLOOKUP(G349,规则与说明!$A$6:$B$11,2,FALSE)*45%,1)</f>
        <v>62</v>
      </c>
      <c r="P349" s="7" t="s">
        <v>46</v>
      </c>
      <c r="Q349" s="1" t="s">
        <v>38</v>
      </c>
      <c r="R349" s="1" t="s">
        <v>763</v>
      </c>
    </row>
    <row r="350" spans="1:18" ht="15" hidden="1">
      <c r="A350" s="3">
        <v>346</v>
      </c>
      <c r="B350" s="1" t="s">
        <v>784</v>
      </c>
      <c r="C350" s="1" t="s">
        <v>760</v>
      </c>
      <c r="D350" s="1" t="s">
        <v>761</v>
      </c>
      <c r="E350" s="1">
        <v>1</v>
      </c>
      <c r="F350" s="1" t="s">
        <v>785</v>
      </c>
      <c r="G350" s="4">
        <v>5</v>
      </c>
      <c r="H350" s="5">
        <v>62</v>
      </c>
      <c r="I350" s="5">
        <v>60</v>
      </c>
      <c r="J350" s="5">
        <v>50</v>
      </c>
      <c r="K350" s="5">
        <v>55</v>
      </c>
      <c r="L350" s="5">
        <v>62</v>
      </c>
      <c r="M350" s="5">
        <v>79</v>
      </c>
      <c r="N350" s="6">
        <f>ROUND(H350*35%+I350*45%+VLOOKUP(G350,规则与说明!$A$6:$B$11,2,FALSE)*20%,1)</f>
        <v>60.7</v>
      </c>
      <c r="O350" s="6">
        <f>ROUND(H350*45%+I350*10%+VLOOKUP(G350,规则与说明!$A$6:$B$11,2,FALSE)*45%,1)</f>
        <v>60.9</v>
      </c>
      <c r="P350" s="7" t="s">
        <v>91</v>
      </c>
      <c r="Q350" s="1" t="s">
        <v>38</v>
      </c>
      <c r="R350" s="1" t="s">
        <v>763</v>
      </c>
    </row>
    <row r="351" spans="1:18" ht="15" hidden="1">
      <c r="A351" s="3">
        <v>347</v>
      </c>
      <c r="B351" s="1" t="s">
        <v>786</v>
      </c>
      <c r="C351" s="1" t="s">
        <v>760</v>
      </c>
      <c r="D351" s="1" t="s">
        <v>761</v>
      </c>
      <c r="E351" s="1">
        <v>1</v>
      </c>
      <c r="F351" s="1" t="s">
        <v>787</v>
      </c>
      <c r="G351" s="4">
        <v>5</v>
      </c>
      <c r="H351" s="5">
        <v>65</v>
      </c>
      <c r="I351" s="5">
        <v>64</v>
      </c>
      <c r="J351" s="5">
        <v>56</v>
      </c>
      <c r="K351" s="5">
        <v>54</v>
      </c>
      <c r="L351" s="5">
        <v>63</v>
      </c>
      <c r="M351" s="5">
        <v>75</v>
      </c>
      <c r="N351" s="6">
        <f>ROUND(H351*35%+I351*45%+VLOOKUP(G351,规则与说明!$A$6:$B$11,2,FALSE)*20%,1)</f>
        <v>63.6</v>
      </c>
      <c r="O351" s="6">
        <f>ROUND(H351*45%+I351*10%+VLOOKUP(G351,规则与说明!$A$6:$B$11,2,FALSE)*45%,1)</f>
        <v>62.7</v>
      </c>
      <c r="P351" s="7" t="s">
        <v>46</v>
      </c>
      <c r="Q351" s="1" t="s">
        <v>38</v>
      </c>
      <c r="R351" s="1" t="s">
        <v>763</v>
      </c>
    </row>
    <row r="352" spans="1:18" ht="15" hidden="1">
      <c r="A352" s="3">
        <v>348</v>
      </c>
      <c r="B352" s="1" t="s">
        <v>788</v>
      </c>
      <c r="C352" s="1" t="s">
        <v>760</v>
      </c>
      <c r="D352" s="1" t="s">
        <v>761</v>
      </c>
      <c r="E352" s="1">
        <v>1</v>
      </c>
      <c r="F352" s="1" t="s">
        <v>789</v>
      </c>
      <c r="G352" s="4">
        <v>5</v>
      </c>
      <c r="H352" s="5">
        <v>62</v>
      </c>
      <c r="I352" s="5">
        <v>59</v>
      </c>
      <c r="J352" s="5">
        <v>56</v>
      </c>
      <c r="K352" s="5">
        <v>58</v>
      </c>
      <c r="L352" s="5">
        <v>65</v>
      </c>
      <c r="M352" s="5">
        <v>81</v>
      </c>
      <c r="N352" s="6">
        <f>ROUND(H352*35%+I352*45%+VLOOKUP(G352,规则与说明!$A$6:$B$11,2,FALSE)*20%,1)</f>
        <v>60.3</v>
      </c>
      <c r="O352" s="6">
        <f>ROUND(H352*45%+I352*10%+VLOOKUP(G352,规则与说明!$A$6:$B$11,2,FALSE)*45%,1)</f>
        <v>60.8</v>
      </c>
      <c r="P352" s="7" t="s">
        <v>46</v>
      </c>
      <c r="Q352" s="1" t="s">
        <v>38</v>
      </c>
      <c r="R352" s="1" t="s">
        <v>763</v>
      </c>
    </row>
    <row r="353" spans="1:18" ht="15" hidden="1">
      <c r="A353" s="3">
        <v>349</v>
      </c>
      <c r="B353" s="1" t="s">
        <v>790</v>
      </c>
      <c r="C353" s="1" t="s">
        <v>760</v>
      </c>
      <c r="D353" s="1" t="s">
        <v>761</v>
      </c>
      <c r="E353" s="1">
        <v>1</v>
      </c>
      <c r="F353" s="1" t="s">
        <v>791</v>
      </c>
      <c r="G353" s="4">
        <v>5</v>
      </c>
      <c r="H353" s="5">
        <v>65</v>
      </c>
      <c r="I353" s="5">
        <v>60</v>
      </c>
      <c r="J353" s="5">
        <v>56</v>
      </c>
      <c r="K353" s="5">
        <v>56</v>
      </c>
      <c r="L353" s="5">
        <v>64</v>
      </c>
      <c r="M353" s="5">
        <v>74</v>
      </c>
      <c r="N353" s="6">
        <f>ROUND(H353*35%+I353*45%+VLOOKUP(G353,规则与说明!$A$6:$B$11,2,FALSE)*20%,1)</f>
        <v>61.8</v>
      </c>
      <c r="O353" s="6">
        <f>ROUND(H353*45%+I353*10%+VLOOKUP(G353,规则与说明!$A$6:$B$11,2,FALSE)*45%,1)</f>
        <v>62.3</v>
      </c>
      <c r="P353" s="7" t="s">
        <v>46</v>
      </c>
      <c r="Q353" s="1" t="s">
        <v>38</v>
      </c>
      <c r="R353" s="1" t="s">
        <v>763</v>
      </c>
    </row>
    <row r="354" spans="1:18" ht="15" hidden="1">
      <c r="A354" s="3">
        <v>350</v>
      </c>
      <c r="B354" s="1" t="s">
        <v>792</v>
      </c>
      <c r="C354" s="1" t="s">
        <v>760</v>
      </c>
      <c r="D354" s="1" t="s">
        <v>761</v>
      </c>
      <c r="E354" s="1">
        <v>1</v>
      </c>
      <c r="F354" s="1" t="s">
        <v>793</v>
      </c>
      <c r="G354" s="4">
        <v>5</v>
      </c>
      <c r="H354" s="5">
        <v>65</v>
      </c>
      <c r="I354" s="5">
        <v>60</v>
      </c>
      <c r="J354" s="5">
        <v>56</v>
      </c>
      <c r="K354" s="5">
        <v>57</v>
      </c>
      <c r="L354" s="5">
        <v>66</v>
      </c>
      <c r="M354" s="5">
        <v>77</v>
      </c>
      <c r="N354" s="6">
        <f>ROUND(H354*35%+I354*45%+VLOOKUP(G354,规则与说明!$A$6:$B$11,2,FALSE)*20%,1)</f>
        <v>61.8</v>
      </c>
      <c r="O354" s="6">
        <f>ROUND(H354*45%+I354*10%+VLOOKUP(G354,规则与说明!$A$6:$B$11,2,FALSE)*45%,1)</f>
        <v>62.3</v>
      </c>
      <c r="P354" s="7" t="s">
        <v>46</v>
      </c>
      <c r="Q354" s="1" t="s">
        <v>38</v>
      </c>
      <c r="R354" s="1" t="s">
        <v>763</v>
      </c>
    </row>
    <row r="355" spans="1:18" ht="15" hidden="1">
      <c r="A355" s="3">
        <v>351</v>
      </c>
      <c r="B355" s="1" t="s">
        <v>794</v>
      </c>
      <c r="C355" s="1" t="s">
        <v>760</v>
      </c>
      <c r="D355" s="1" t="s">
        <v>795</v>
      </c>
      <c r="E355" s="1">
        <v>2</v>
      </c>
      <c r="F355" s="1" t="s">
        <v>796</v>
      </c>
      <c r="G355" s="4">
        <v>6</v>
      </c>
      <c r="H355" s="5">
        <v>52</v>
      </c>
      <c r="I355" s="5">
        <v>49</v>
      </c>
      <c r="J355" s="5">
        <v>33</v>
      </c>
      <c r="K355" s="5">
        <v>32</v>
      </c>
      <c r="L355" s="5">
        <v>56</v>
      </c>
      <c r="M355" s="5">
        <v>88</v>
      </c>
      <c r="N355" s="6">
        <f>ROUND(H355*35%+I355*45%+VLOOKUP(G355,规则与说明!$A$6:$B$11,2,FALSE)*20%,1)</f>
        <v>50.3</v>
      </c>
      <c r="O355" s="6">
        <f>ROUND(H355*45%+I355*10%+VLOOKUP(G355,规则与说明!$A$6:$B$11,2,FALSE)*45%,1)</f>
        <v>50.8</v>
      </c>
      <c r="P355" s="7" t="s">
        <v>206</v>
      </c>
      <c r="Q355" s="1" t="s">
        <v>25</v>
      </c>
      <c r="R355" s="1" t="s">
        <v>763</v>
      </c>
    </row>
    <row r="356" spans="1:18" ht="15" hidden="1">
      <c r="A356" s="3">
        <v>352</v>
      </c>
      <c r="B356" s="1" t="s">
        <v>797</v>
      </c>
      <c r="C356" s="1" t="s">
        <v>760</v>
      </c>
      <c r="D356" s="1" t="s">
        <v>795</v>
      </c>
      <c r="E356" s="1">
        <v>2</v>
      </c>
      <c r="F356" s="1" t="s">
        <v>798</v>
      </c>
      <c r="G356" s="4">
        <v>6</v>
      </c>
      <c r="H356" s="5">
        <v>51</v>
      </c>
      <c r="I356" s="5">
        <v>54</v>
      </c>
      <c r="J356" s="5">
        <v>33</v>
      </c>
      <c r="K356" s="5">
        <v>34</v>
      </c>
      <c r="L356" s="5">
        <v>57</v>
      </c>
      <c r="M356" s="5">
        <v>89</v>
      </c>
      <c r="N356" s="6">
        <f>ROUND(H356*35%+I356*45%+VLOOKUP(G356,规则与说明!$A$6:$B$11,2,FALSE)*20%,1)</f>
        <v>52.2</v>
      </c>
      <c r="O356" s="6">
        <f>ROUND(H356*45%+I356*10%+VLOOKUP(G356,规则与说明!$A$6:$B$11,2,FALSE)*45%,1)</f>
        <v>50.9</v>
      </c>
      <c r="P356" s="7" t="s">
        <v>206</v>
      </c>
      <c r="Q356" s="1" t="s">
        <v>38</v>
      </c>
      <c r="R356" s="1" t="s">
        <v>763</v>
      </c>
    </row>
    <row r="357" spans="1:18" ht="15" hidden="1">
      <c r="A357" s="3">
        <v>353</v>
      </c>
      <c r="B357" s="1" t="s">
        <v>799</v>
      </c>
      <c r="C357" s="1" t="s">
        <v>760</v>
      </c>
      <c r="D357" s="1" t="s">
        <v>795</v>
      </c>
      <c r="E357" s="1">
        <v>2</v>
      </c>
      <c r="F357" s="1" t="s">
        <v>800</v>
      </c>
      <c r="G357" s="4">
        <v>6</v>
      </c>
      <c r="H357" s="5">
        <v>52</v>
      </c>
      <c r="I357" s="5">
        <v>48</v>
      </c>
      <c r="J357" s="5">
        <v>37</v>
      </c>
      <c r="K357" s="5">
        <v>37</v>
      </c>
      <c r="L357" s="5">
        <v>58</v>
      </c>
      <c r="M357" s="5">
        <v>89</v>
      </c>
      <c r="N357" s="6">
        <f>ROUND(H357*35%+I357*45%+VLOOKUP(G357,规则与说明!$A$6:$B$11,2,FALSE)*20%,1)</f>
        <v>49.8</v>
      </c>
      <c r="O357" s="6">
        <f>ROUND(H357*45%+I357*10%+VLOOKUP(G357,规则与说明!$A$6:$B$11,2,FALSE)*45%,1)</f>
        <v>50.7</v>
      </c>
      <c r="P357" s="7" t="s">
        <v>206</v>
      </c>
      <c r="Q357" s="1" t="s">
        <v>38</v>
      </c>
      <c r="R357" s="1" t="s">
        <v>763</v>
      </c>
    </row>
    <row r="358" spans="1:18" ht="15" hidden="1">
      <c r="A358" s="3">
        <v>354</v>
      </c>
      <c r="B358" s="1" t="s">
        <v>801</v>
      </c>
      <c r="C358" s="1" t="s">
        <v>760</v>
      </c>
      <c r="D358" s="1" t="s">
        <v>795</v>
      </c>
      <c r="E358" s="1">
        <v>2</v>
      </c>
      <c r="F358" s="1" t="s">
        <v>802</v>
      </c>
      <c r="G358" s="4">
        <v>6</v>
      </c>
      <c r="H358" s="5">
        <v>54</v>
      </c>
      <c r="I358" s="5">
        <v>46</v>
      </c>
      <c r="J358" s="5">
        <v>37</v>
      </c>
      <c r="K358" s="5">
        <v>32</v>
      </c>
      <c r="L358" s="5">
        <v>58</v>
      </c>
      <c r="M358" s="5">
        <v>91</v>
      </c>
      <c r="N358" s="6">
        <f>ROUND(H358*35%+I358*45%+VLOOKUP(G358,规则与说明!$A$6:$B$11,2,FALSE)*20%,1)</f>
        <v>49.6</v>
      </c>
      <c r="O358" s="6">
        <f>ROUND(H358*45%+I358*10%+VLOOKUP(G358,规则与说明!$A$6:$B$11,2,FALSE)*45%,1)</f>
        <v>51.4</v>
      </c>
      <c r="P358" s="7" t="s">
        <v>206</v>
      </c>
      <c r="Q358" s="1" t="s">
        <v>38</v>
      </c>
      <c r="R358" s="1" t="s">
        <v>763</v>
      </c>
    </row>
    <row r="359" spans="1:18" ht="15" hidden="1">
      <c r="A359" s="3">
        <v>355</v>
      </c>
      <c r="B359" s="1" t="s">
        <v>803</v>
      </c>
      <c r="C359" s="1" t="s">
        <v>760</v>
      </c>
      <c r="D359" s="1" t="s">
        <v>795</v>
      </c>
      <c r="E359" s="1">
        <v>2</v>
      </c>
      <c r="F359" s="1" t="s">
        <v>804</v>
      </c>
      <c r="G359" s="4">
        <v>6</v>
      </c>
      <c r="H359" s="5">
        <v>54</v>
      </c>
      <c r="I359" s="5">
        <v>54</v>
      </c>
      <c r="J359" s="5">
        <v>32</v>
      </c>
      <c r="K359" s="5">
        <v>34</v>
      </c>
      <c r="L359" s="5">
        <v>54</v>
      </c>
      <c r="M359" s="5">
        <v>88</v>
      </c>
      <c r="N359" s="6">
        <f>ROUND(H359*35%+I359*45%+VLOOKUP(G359,规则与说明!$A$6:$B$11,2,FALSE)*20%,1)</f>
        <v>53.2</v>
      </c>
      <c r="O359" s="6">
        <f>ROUND(H359*45%+I359*10%+VLOOKUP(G359,规则与说明!$A$6:$B$11,2,FALSE)*45%,1)</f>
        <v>52.2</v>
      </c>
      <c r="P359" s="7" t="s">
        <v>206</v>
      </c>
      <c r="Q359" s="1" t="s">
        <v>38</v>
      </c>
      <c r="R359" s="1" t="s">
        <v>763</v>
      </c>
    </row>
    <row r="360" spans="1:18" ht="15" hidden="1">
      <c r="A360" s="3">
        <v>356</v>
      </c>
      <c r="B360" s="1" t="s">
        <v>805</v>
      </c>
      <c r="C360" s="1" t="s">
        <v>760</v>
      </c>
      <c r="D360" s="1" t="s">
        <v>795</v>
      </c>
      <c r="E360" s="1">
        <v>2</v>
      </c>
      <c r="F360" s="1" t="s">
        <v>806</v>
      </c>
      <c r="G360" s="4">
        <v>6</v>
      </c>
      <c r="H360" s="5">
        <v>52</v>
      </c>
      <c r="I360" s="5">
        <v>46</v>
      </c>
      <c r="J360" s="5">
        <v>37</v>
      </c>
      <c r="K360" s="5">
        <v>32</v>
      </c>
      <c r="L360" s="5">
        <v>56</v>
      </c>
      <c r="M360" s="5">
        <v>87</v>
      </c>
      <c r="N360" s="6">
        <f>ROUND(H360*35%+I360*45%+VLOOKUP(G360,规则与说明!$A$6:$B$11,2,FALSE)*20%,1)</f>
        <v>48.9</v>
      </c>
      <c r="O360" s="6">
        <f>ROUND(H360*45%+I360*10%+VLOOKUP(G360,规则与说明!$A$6:$B$11,2,FALSE)*45%,1)</f>
        <v>50.5</v>
      </c>
      <c r="P360" s="7" t="s">
        <v>91</v>
      </c>
      <c r="Q360" s="1" t="s">
        <v>38</v>
      </c>
      <c r="R360" s="1" t="s">
        <v>763</v>
      </c>
    </row>
    <row r="361" spans="1:18" ht="15" hidden="1">
      <c r="A361" s="3">
        <v>357</v>
      </c>
      <c r="B361" s="1" t="s">
        <v>807</v>
      </c>
      <c r="C361" s="1" t="s">
        <v>760</v>
      </c>
      <c r="D361" s="1" t="s">
        <v>795</v>
      </c>
      <c r="E361" s="1">
        <v>2</v>
      </c>
      <c r="F361" s="1" t="s">
        <v>808</v>
      </c>
      <c r="G361" s="4">
        <v>6</v>
      </c>
      <c r="H361" s="5">
        <v>50</v>
      </c>
      <c r="I361" s="5">
        <v>48</v>
      </c>
      <c r="J361" s="5">
        <v>33</v>
      </c>
      <c r="K361" s="5">
        <v>34</v>
      </c>
      <c r="L361" s="5">
        <v>58</v>
      </c>
      <c r="M361" s="5">
        <v>91</v>
      </c>
      <c r="N361" s="6">
        <f>ROUND(H361*35%+I361*45%+VLOOKUP(G361,规则与说明!$A$6:$B$11,2,FALSE)*20%,1)</f>
        <v>49.1</v>
      </c>
      <c r="O361" s="6">
        <f>ROUND(H361*45%+I361*10%+VLOOKUP(G361,规则与说明!$A$6:$B$11,2,FALSE)*45%,1)</f>
        <v>49.8</v>
      </c>
      <c r="P361" s="7" t="s">
        <v>206</v>
      </c>
      <c r="Q361" s="1" t="s">
        <v>38</v>
      </c>
      <c r="R361" s="1" t="s">
        <v>763</v>
      </c>
    </row>
    <row r="362" spans="1:18" ht="15" hidden="1">
      <c r="A362" s="3">
        <v>358</v>
      </c>
      <c r="B362" s="1" t="s">
        <v>809</v>
      </c>
      <c r="C362" s="1" t="s">
        <v>760</v>
      </c>
      <c r="D362" s="1" t="s">
        <v>795</v>
      </c>
      <c r="E362" s="1">
        <v>2</v>
      </c>
      <c r="F362" s="1" t="s">
        <v>810</v>
      </c>
      <c r="G362" s="4">
        <v>6</v>
      </c>
      <c r="H362" s="5">
        <v>53</v>
      </c>
      <c r="I362" s="5">
        <v>50</v>
      </c>
      <c r="J362" s="5">
        <v>37</v>
      </c>
      <c r="K362" s="5">
        <v>34</v>
      </c>
      <c r="L362" s="5">
        <v>57</v>
      </c>
      <c r="M362" s="5">
        <v>90</v>
      </c>
      <c r="N362" s="6">
        <f>ROUND(H362*35%+I362*45%+VLOOKUP(G362,规则与说明!$A$6:$B$11,2,FALSE)*20%,1)</f>
        <v>51.1</v>
      </c>
      <c r="O362" s="6">
        <f>ROUND(H362*45%+I362*10%+VLOOKUP(G362,规则与说明!$A$6:$B$11,2,FALSE)*45%,1)</f>
        <v>51.4</v>
      </c>
      <c r="P362" s="7" t="s">
        <v>206</v>
      </c>
      <c r="Q362" s="1" t="s">
        <v>38</v>
      </c>
      <c r="R362" s="1" t="s">
        <v>763</v>
      </c>
    </row>
    <row r="363" spans="1:18" ht="15" hidden="1">
      <c r="A363" s="3">
        <v>359</v>
      </c>
      <c r="B363" s="1" t="s">
        <v>811</v>
      </c>
      <c r="C363" s="1" t="s">
        <v>760</v>
      </c>
      <c r="D363" s="1" t="s">
        <v>795</v>
      </c>
      <c r="E363" s="1">
        <v>2</v>
      </c>
      <c r="F363" s="1" t="s">
        <v>812</v>
      </c>
      <c r="G363" s="4">
        <v>6</v>
      </c>
      <c r="H363" s="5">
        <v>53</v>
      </c>
      <c r="I363" s="5">
        <v>49</v>
      </c>
      <c r="J363" s="5">
        <v>33</v>
      </c>
      <c r="K363" s="5">
        <v>38</v>
      </c>
      <c r="L363" s="5">
        <v>55</v>
      </c>
      <c r="M363" s="5">
        <v>89</v>
      </c>
      <c r="N363" s="6">
        <f>ROUND(H363*35%+I363*45%+VLOOKUP(G363,规则与说明!$A$6:$B$11,2,FALSE)*20%,1)</f>
        <v>50.6</v>
      </c>
      <c r="O363" s="6">
        <f>ROUND(H363*45%+I363*10%+VLOOKUP(G363,规则与说明!$A$6:$B$11,2,FALSE)*45%,1)</f>
        <v>51.3</v>
      </c>
      <c r="P363" s="7" t="s">
        <v>206</v>
      </c>
      <c r="Q363" s="1" t="s">
        <v>38</v>
      </c>
      <c r="R363" s="1" t="s">
        <v>763</v>
      </c>
    </row>
    <row r="364" spans="1:18" ht="15" hidden="1">
      <c r="A364" s="3">
        <v>360</v>
      </c>
      <c r="B364" s="1" t="s">
        <v>813</v>
      </c>
      <c r="C364" s="1" t="s">
        <v>760</v>
      </c>
      <c r="D364" s="1" t="s">
        <v>795</v>
      </c>
      <c r="E364" s="1">
        <v>2</v>
      </c>
      <c r="F364" s="1" t="s">
        <v>814</v>
      </c>
      <c r="G364" s="4">
        <v>6</v>
      </c>
      <c r="H364" s="5">
        <v>54</v>
      </c>
      <c r="I364" s="5">
        <v>47</v>
      </c>
      <c r="J364" s="5">
        <v>36</v>
      </c>
      <c r="K364" s="5">
        <v>36</v>
      </c>
      <c r="L364" s="5">
        <v>55</v>
      </c>
      <c r="M364" s="5">
        <v>93</v>
      </c>
      <c r="N364" s="6">
        <f>ROUND(H364*35%+I364*45%+VLOOKUP(G364,规则与说明!$A$6:$B$11,2,FALSE)*20%,1)</f>
        <v>50.1</v>
      </c>
      <c r="O364" s="6">
        <f>ROUND(H364*45%+I364*10%+VLOOKUP(G364,规则与说明!$A$6:$B$11,2,FALSE)*45%,1)</f>
        <v>51.5</v>
      </c>
      <c r="P364" s="7" t="s">
        <v>206</v>
      </c>
      <c r="Q364" s="1" t="s">
        <v>38</v>
      </c>
      <c r="R364" s="1" t="s">
        <v>763</v>
      </c>
    </row>
    <row r="365" spans="1:18" ht="15" hidden="1">
      <c r="A365" s="3">
        <v>361</v>
      </c>
      <c r="B365" s="1" t="s">
        <v>815</v>
      </c>
      <c r="C365" s="1" t="s">
        <v>760</v>
      </c>
      <c r="D365" s="1" t="s">
        <v>795</v>
      </c>
      <c r="E365" s="1">
        <v>2</v>
      </c>
      <c r="F365" s="1" t="s">
        <v>816</v>
      </c>
      <c r="G365" s="4">
        <v>6</v>
      </c>
      <c r="H365" s="5">
        <v>52</v>
      </c>
      <c r="I365" s="5">
        <v>48</v>
      </c>
      <c r="J365" s="5">
        <v>34</v>
      </c>
      <c r="K365" s="5">
        <v>38</v>
      </c>
      <c r="L365" s="5">
        <v>57</v>
      </c>
      <c r="M365" s="5">
        <v>87</v>
      </c>
      <c r="N365" s="6">
        <f>ROUND(H365*35%+I365*45%+VLOOKUP(G365,规则与说明!$A$6:$B$11,2,FALSE)*20%,1)</f>
        <v>49.8</v>
      </c>
      <c r="O365" s="6">
        <f>ROUND(H365*45%+I365*10%+VLOOKUP(G365,规则与说明!$A$6:$B$11,2,FALSE)*45%,1)</f>
        <v>50.7</v>
      </c>
      <c r="P365" s="7" t="s">
        <v>91</v>
      </c>
      <c r="Q365" s="1" t="s">
        <v>38</v>
      </c>
      <c r="R365" s="1" t="s">
        <v>763</v>
      </c>
    </row>
    <row r="366" spans="1:18" ht="15" hidden="1">
      <c r="A366" s="3">
        <v>362</v>
      </c>
      <c r="B366" s="1" t="s">
        <v>817</v>
      </c>
      <c r="C366" s="1" t="s">
        <v>760</v>
      </c>
      <c r="D366" s="1" t="s">
        <v>795</v>
      </c>
      <c r="E366" s="1">
        <v>2</v>
      </c>
      <c r="F366" s="1" t="s">
        <v>818</v>
      </c>
      <c r="G366" s="4">
        <v>6</v>
      </c>
      <c r="H366" s="5">
        <v>54</v>
      </c>
      <c r="I366" s="5">
        <v>51</v>
      </c>
      <c r="J366" s="5">
        <v>36</v>
      </c>
      <c r="K366" s="5">
        <v>38</v>
      </c>
      <c r="L366" s="5">
        <v>58</v>
      </c>
      <c r="M366" s="5">
        <v>86</v>
      </c>
      <c r="N366" s="6">
        <f>ROUND(H366*35%+I366*45%+VLOOKUP(G366,规则与说明!$A$6:$B$11,2,FALSE)*20%,1)</f>
        <v>51.9</v>
      </c>
      <c r="O366" s="6">
        <f>ROUND(H366*45%+I366*10%+VLOOKUP(G366,规则与说明!$A$6:$B$11,2,FALSE)*45%,1)</f>
        <v>51.9</v>
      </c>
      <c r="P366" s="7" t="s">
        <v>91</v>
      </c>
      <c r="Q366" s="1" t="s">
        <v>38</v>
      </c>
      <c r="R366" s="1" t="s">
        <v>763</v>
      </c>
    </row>
    <row r="367" spans="1:18" ht="15" hidden="1">
      <c r="A367" s="3">
        <v>363</v>
      </c>
      <c r="B367" s="1" t="s">
        <v>819</v>
      </c>
      <c r="C367" s="1" t="s">
        <v>760</v>
      </c>
      <c r="D367" s="1" t="s">
        <v>795</v>
      </c>
      <c r="E367" s="1">
        <v>2</v>
      </c>
      <c r="F367" s="1" t="s">
        <v>820</v>
      </c>
      <c r="G367" s="4">
        <v>6</v>
      </c>
      <c r="H367" s="5">
        <v>52</v>
      </c>
      <c r="I367" s="5">
        <v>46</v>
      </c>
      <c r="J367" s="5">
        <v>32</v>
      </c>
      <c r="K367" s="5">
        <v>37</v>
      </c>
      <c r="L367" s="5">
        <v>57</v>
      </c>
      <c r="M367" s="5">
        <v>88</v>
      </c>
      <c r="N367" s="6">
        <f>ROUND(H367*35%+I367*45%+VLOOKUP(G367,规则与说明!$A$6:$B$11,2,FALSE)*20%,1)</f>
        <v>48.9</v>
      </c>
      <c r="O367" s="6">
        <f>ROUND(H367*45%+I367*10%+VLOOKUP(G367,规则与说明!$A$6:$B$11,2,FALSE)*45%,1)</f>
        <v>50.5</v>
      </c>
      <c r="P367" s="7" t="s">
        <v>206</v>
      </c>
      <c r="Q367" s="1" t="s">
        <v>38</v>
      </c>
      <c r="R367" s="1" t="s">
        <v>763</v>
      </c>
    </row>
    <row r="368" spans="1:18" ht="15" hidden="1">
      <c r="A368" s="3">
        <v>364</v>
      </c>
      <c r="B368" s="1" t="s">
        <v>821</v>
      </c>
      <c r="C368" s="1" t="s">
        <v>760</v>
      </c>
      <c r="D368" s="1" t="s">
        <v>795</v>
      </c>
      <c r="E368" s="1">
        <v>2</v>
      </c>
      <c r="F368" s="1" t="s">
        <v>822</v>
      </c>
      <c r="G368" s="4">
        <v>6</v>
      </c>
      <c r="H368" s="5">
        <v>51</v>
      </c>
      <c r="I368" s="5">
        <v>51</v>
      </c>
      <c r="J368" s="5">
        <v>31</v>
      </c>
      <c r="K368" s="5">
        <v>38</v>
      </c>
      <c r="L368" s="5">
        <v>54</v>
      </c>
      <c r="M368" s="5">
        <v>88</v>
      </c>
      <c r="N368" s="6">
        <f>ROUND(H368*35%+I368*45%+VLOOKUP(G368,规则与说明!$A$6:$B$11,2,FALSE)*20%,1)</f>
        <v>50.8</v>
      </c>
      <c r="O368" s="6">
        <f>ROUND(H368*45%+I368*10%+VLOOKUP(G368,规则与说明!$A$6:$B$11,2,FALSE)*45%,1)</f>
        <v>50.6</v>
      </c>
      <c r="P368" s="7" t="s">
        <v>206</v>
      </c>
      <c r="Q368" s="1" t="s">
        <v>38</v>
      </c>
      <c r="R368" s="1" t="s">
        <v>763</v>
      </c>
    </row>
    <row r="369" spans="1:18" ht="15" hidden="1">
      <c r="A369" s="3">
        <v>365</v>
      </c>
      <c r="B369" s="1" t="s">
        <v>823</v>
      </c>
      <c r="C369" s="1" t="s">
        <v>760</v>
      </c>
      <c r="D369" s="1" t="s">
        <v>795</v>
      </c>
      <c r="E369" s="1">
        <v>2</v>
      </c>
      <c r="F369" s="1" t="s">
        <v>824</v>
      </c>
      <c r="G369" s="4">
        <v>6</v>
      </c>
      <c r="H369" s="5">
        <v>54</v>
      </c>
      <c r="I369" s="5">
        <v>54</v>
      </c>
      <c r="J369" s="5">
        <v>35</v>
      </c>
      <c r="K369" s="5">
        <v>35</v>
      </c>
      <c r="L369" s="5">
        <v>58</v>
      </c>
      <c r="M369" s="5">
        <v>92</v>
      </c>
      <c r="N369" s="6">
        <f>ROUND(H369*35%+I369*45%+VLOOKUP(G369,规则与说明!$A$6:$B$11,2,FALSE)*20%,1)</f>
        <v>53.2</v>
      </c>
      <c r="O369" s="6">
        <f>ROUND(H369*45%+I369*10%+VLOOKUP(G369,规则与说明!$A$6:$B$11,2,FALSE)*45%,1)</f>
        <v>52.2</v>
      </c>
      <c r="P369" s="7" t="s">
        <v>206</v>
      </c>
      <c r="Q369" s="1" t="s">
        <v>38</v>
      </c>
      <c r="R369" s="1" t="s">
        <v>763</v>
      </c>
    </row>
    <row r="370" spans="1:18" ht="15" hidden="1">
      <c r="A370" s="3">
        <v>366</v>
      </c>
      <c r="B370" s="1" t="s">
        <v>825</v>
      </c>
      <c r="C370" s="1" t="s">
        <v>760</v>
      </c>
      <c r="D370" s="1" t="s">
        <v>795</v>
      </c>
      <c r="E370" s="1">
        <v>2</v>
      </c>
      <c r="F370" s="1" t="s">
        <v>826</v>
      </c>
      <c r="G370" s="4">
        <v>6</v>
      </c>
      <c r="H370" s="5">
        <v>52</v>
      </c>
      <c r="I370" s="5">
        <v>49</v>
      </c>
      <c r="J370" s="5">
        <v>35</v>
      </c>
      <c r="K370" s="5">
        <v>38</v>
      </c>
      <c r="L370" s="5">
        <v>55</v>
      </c>
      <c r="M370" s="5">
        <v>87</v>
      </c>
      <c r="N370" s="6">
        <f>ROUND(H370*35%+I370*45%+VLOOKUP(G370,规则与说明!$A$6:$B$11,2,FALSE)*20%,1)</f>
        <v>50.3</v>
      </c>
      <c r="O370" s="6">
        <f>ROUND(H370*45%+I370*10%+VLOOKUP(G370,规则与说明!$A$6:$B$11,2,FALSE)*45%,1)</f>
        <v>50.8</v>
      </c>
      <c r="P370" s="7" t="s">
        <v>91</v>
      </c>
      <c r="Q370" s="1" t="s">
        <v>38</v>
      </c>
      <c r="R370" s="1" t="s">
        <v>763</v>
      </c>
    </row>
  </sheetData>
  <mergeCells count="2">
    <mergeCell ref="A1:R1"/>
    <mergeCell ref="A2:R2"/>
  </mergeCells>
  <phoneticPr fontId="7" type="noConversion"/>
  <conditionalFormatting sqref="H5:M370">
    <cfRule type="colorScale" priority="1">
      <colorScale>
        <cfvo type="min"/>
        <cfvo type="percentile" val="50"/>
        <cfvo type="max"/>
        <color rgb="FFF2D7D5"/>
        <color rgb="FFF9E79F"/>
        <color rgb="FFD5F5E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workbookViewId="0"/>
  </sheetViews>
  <sheetFormatPr baseColWidth="10" defaultColWidth="8.83203125" defaultRowHeight="14"/>
  <cols>
    <col min="1" max="1" width="20" customWidth="1"/>
    <col min="2" max="8" width="16" customWidth="1"/>
  </cols>
  <sheetData>
    <row r="1" spans="1:8" ht="34" customHeight="1">
      <c r="A1" s="22" t="s">
        <v>827</v>
      </c>
      <c r="B1" s="23"/>
      <c r="C1" s="23"/>
      <c r="D1" s="23"/>
      <c r="E1" s="23"/>
      <c r="F1" s="23"/>
      <c r="G1" s="23"/>
      <c r="H1" s="23"/>
    </row>
    <row r="2" spans="1:8" ht="24" customHeight="1">
      <c r="A2" s="24" t="s">
        <v>828</v>
      </c>
      <c r="B2" s="23"/>
      <c r="C2" s="23"/>
      <c r="D2" s="23"/>
      <c r="E2" s="23"/>
      <c r="F2" s="23"/>
      <c r="G2" s="23"/>
      <c r="H2" s="23"/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1"/>
      <c r="B4" s="1"/>
      <c r="C4" s="1"/>
      <c r="D4" s="1"/>
      <c r="E4" s="1"/>
      <c r="F4" s="1"/>
      <c r="G4" s="1"/>
      <c r="H4" s="1"/>
    </row>
    <row r="5" spans="1:8" ht="15">
      <c r="A5" s="8" t="s">
        <v>8</v>
      </c>
      <c r="B5" s="9" t="s">
        <v>829</v>
      </c>
      <c r="C5" s="9" t="s">
        <v>830</v>
      </c>
      <c r="D5" s="9" t="s">
        <v>831</v>
      </c>
      <c r="E5" s="9" t="s">
        <v>832</v>
      </c>
      <c r="F5" s="9" t="s">
        <v>833</v>
      </c>
      <c r="G5" s="9" t="s">
        <v>13</v>
      </c>
      <c r="H5" s="10" t="s">
        <v>14</v>
      </c>
    </row>
    <row r="6" spans="1:8" ht="15">
      <c r="A6" s="11">
        <v>1</v>
      </c>
      <c r="B6" s="12">
        <v>94</v>
      </c>
      <c r="C6" s="12">
        <v>95</v>
      </c>
      <c r="D6" s="12">
        <v>90</v>
      </c>
      <c r="E6" s="12">
        <v>94</v>
      </c>
      <c r="F6" s="12">
        <v>95</v>
      </c>
      <c r="G6" s="12">
        <v>86</v>
      </c>
      <c r="H6" s="13">
        <v>62</v>
      </c>
    </row>
    <row r="7" spans="1:8" ht="15">
      <c r="A7" s="11">
        <v>2</v>
      </c>
      <c r="B7" s="12">
        <v>87</v>
      </c>
      <c r="C7" s="12">
        <v>88</v>
      </c>
      <c r="D7" s="12">
        <v>86</v>
      </c>
      <c r="E7" s="12">
        <v>80</v>
      </c>
      <c r="F7" s="12">
        <v>84</v>
      </c>
      <c r="G7" s="12">
        <v>80</v>
      </c>
      <c r="H7" s="13">
        <v>70</v>
      </c>
    </row>
    <row r="8" spans="1:8" ht="15">
      <c r="A8" s="11">
        <v>3</v>
      </c>
      <c r="B8" s="12">
        <v>79</v>
      </c>
      <c r="C8" s="12">
        <v>81</v>
      </c>
      <c r="D8" s="12">
        <v>79</v>
      </c>
      <c r="E8" s="12">
        <v>70</v>
      </c>
      <c r="F8" s="12">
        <v>77</v>
      </c>
      <c r="G8" s="12">
        <v>76</v>
      </c>
      <c r="H8" s="13">
        <v>70</v>
      </c>
    </row>
    <row r="9" spans="1:8" ht="15">
      <c r="A9" s="11">
        <v>4</v>
      </c>
      <c r="B9" s="12">
        <v>70</v>
      </c>
      <c r="C9" s="12">
        <v>73</v>
      </c>
      <c r="D9" s="12">
        <v>70</v>
      </c>
      <c r="E9" s="12">
        <v>58</v>
      </c>
      <c r="F9" s="12">
        <v>66</v>
      </c>
      <c r="G9" s="12">
        <v>69</v>
      </c>
      <c r="H9" s="13">
        <v>73</v>
      </c>
    </row>
    <row r="10" spans="1:8" ht="15">
      <c r="A10" s="11">
        <v>5</v>
      </c>
      <c r="B10" s="12">
        <v>60</v>
      </c>
      <c r="C10" s="12">
        <v>63</v>
      </c>
      <c r="D10" s="12">
        <v>62</v>
      </c>
      <c r="E10" s="12">
        <v>48</v>
      </c>
      <c r="F10" s="12">
        <v>54</v>
      </c>
      <c r="G10" s="12">
        <v>63</v>
      </c>
      <c r="H10" s="13">
        <v>77</v>
      </c>
    </row>
    <row r="11" spans="1:8" ht="15">
      <c r="A11" s="11">
        <v>6</v>
      </c>
      <c r="B11" s="12">
        <v>50</v>
      </c>
      <c r="C11" s="12">
        <v>52</v>
      </c>
      <c r="D11" s="12">
        <v>50</v>
      </c>
      <c r="E11" s="12">
        <v>34</v>
      </c>
      <c r="F11" s="12">
        <v>38</v>
      </c>
      <c r="G11" s="12">
        <v>56</v>
      </c>
      <c r="H11" s="13">
        <v>84</v>
      </c>
    </row>
    <row r="12" spans="1:8" ht="15">
      <c r="A12" s="11"/>
      <c r="B12" s="12"/>
      <c r="C12" s="12"/>
      <c r="D12" s="12"/>
      <c r="E12" s="12"/>
      <c r="F12" s="12"/>
      <c r="G12" s="12"/>
      <c r="H12" s="13"/>
    </row>
    <row r="13" spans="1:8" ht="15">
      <c r="A13" s="11"/>
      <c r="B13" s="12"/>
      <c r="C13" s="12"/>
      <c r="D13" s="12"/>
      <c r="E13" s="12"/>
      <c r="F13" s="12"/>
      <c r="G13" s="12"/>
      <c r="H13" s="13"/>
    </row>
    <row r="14" spans="1:8" ht="15">
      <c r="A14" s="11" t="s">
        <v>834</v>
      </c>
      <c r="B14" s="12" t="s">
        <v>835</v>
      </c>
      <c r="C14" s="12" t="s">
        <v>836</v>
      </c>
      <c r="D14" s="12" t="s">
        <v>834</v>
      </c>
      <c r="E14" s="12" t="s">
        <v>835</v>
      </c>
      <c r="F14" s="12" t="s">
        <v>836</v>
      </c>
      <c r="G14" s="12" t="s">
        <v>837</v>
      </c>
      <c r="H14" s="13"/>
    </row>
    <row r="15" spans="1:8" ht="15">
      <c r="A15" s="11" t="s">
        <v>838</v>
      </c>
      <c r="B15" s="12">
        <v>91</v>
      </c>
      <c r="C15" s="12">
        <v>98</v>
      </c>
      <c r="D15" s="12" t="s">
        <v>839</v>
      </c>
      <c r="E15" s="12">
        <v>82</v>
      </c>
      <c r="F15" s="12">
        <v>98</v>
      </c>
      <c r="G15" s="12" t="s">
        <v>840</v>
      </c>
      <c r="H15" s="13"/>
    </row>
    <row r="16" spans="1:8" ht="15">
      <c r="A16" s="11" t="s">
        <v>841</v>
      </c>
      <c r="B16" s="12">
        <v>84</v>
      </c>
      <c r="C16" s="12">
        <v>94</v>
      </c>
      <c r="D16" s="12" t="s">
        <v>842</v>
      </c>
      <c r="E16" s="12">
        <v>72</v>
      </c>
      <c r="F16" s="12">
        <v>98</v>
      </c>
      <c r="G16" s="12" t="s">
        <v>840</v>
      </c>
      <c r="H16" s="13"/>
    </row>
    <row r="17" spans="1:8" ht="15">
      <c r="A17" s="11" t="s">
        <v>843</v>
      </c>
      <c r="B17" s="12">
        <v>76</v>
      </c>
      <c r="C17" s="12">
        <v>90</v>
      </c>
      <c r="D17" s="12" t="s">
        <v>844</v>
      </c>
      <c r="E17" s="12">
        <v>65</v>
      </c>
      <c r="F17" s="12">
        <v>95</v>
      </c>
      <c r="G17" s="12" t="s">
        <v>840</v>
      </c>
      <c r="H17" s="13"/>
    </row>
    <row r="18" spans="1:8" ht="15">
      <c r="A18" s="11" t="s">
        <v>845</v>
      </c>
      <c r="B18" s="12">
        <v>68</v>
      </c>
      <c r="C18" s="12">
        <v>86</v>
      </c>
      <c r="D18" s="12" t="s">
        <v>846</v>
      </c>
      <c r="E18" s="12">
        <v>58</v>
      </c>
      <c r="F18" s="12">
        <v>90</v>
      </c>
      <c r="G18" s="12" t="s">
        <v>840</v>
      </c>
      <c r="H18" s="13"/>
    </row>
    <row r="19" spans="1:8" ht="15">
      <c r="A19" s="11" t="s">
        <v>847</v>
      </c>
      <c r="B19" s="12">
        <v>58</v>
      </c>
      <c r="C19" s="12">
        <v>78</v>
      </c>
      <c r="D19" s="12" t="s">
        <v>848</v>
      </c>
      <c r="E19" s="12">
        <v>52</v>
      </c>
      <c r="F19" s="12">
        <v>86</v>
      </c>
      <c r="G19" s="12" t="s">
        <v>840</v>
      </c>
      <c r="H19" s="13"/>
    </row>
    <row r="20" spans="1:8" ht="15">
      <c r="A20" s="11" t="s">
        <v>849</v>
      </c>
      <c r="B20" s="12">
        <v>48</v>
      </c>
      <c r="C20" s="12">
        <v>67</v>
      </c>
      <c r="D20" s="12" t="s">
        <v>850</v>
      </c>
      <c r="E20" s="12">
        <v>45</v>
      </c>
      <c r="F20" s="12">
        <v>76</v>
      </c>
      <c r="G20" s="12" t="s">
        <v>840</v>
      </c>
      <c r="H20" s="13"/>
    </row>
    <row r="21" spans="1:8" ht="15">
      <c r="A21" s="11"/>
      <c r="B21" s="12"/>
      <c r="C21" s="12"/>
      <c r="D21" s="12"/>
      <c r="E21" s="12"/>
      <c r="F21" s="12"/>
      <c r="G21" s="12"/>
      <c r="H21" s="13"/>
    </row>
    <row r="22" spans="1:8" ht="15">
      <c r="A22" s="11"/>
      <c r="B22" s="12"/>
      <c r="C22" s="12"/>
      <c r="D22" s="12"/>
      <c r="E22" s="12"/>
      <c r="F22" s="12"/>
      <c r="G22" s="12"/>
      <c r="H22" s="13"/>
    </row>
    <row r="23" spans="1:8" ht="15">
      <c r="A23" s="11" t="s">
        <v>851</v>
      </c>
      <c r="B23" s="12" t="s">
        <v>852</v>
      </c>
      <c r="C23" s="12" t="s">
        <v>853</v>
      </c>
      <c r="D23" s="12" t="s">
        <v>854</v>
      </c>
      <c r="E23" s="12"/>
      <c r="F23" s="12"/>
      <c r="G23" s="12"/>
      <c r="H23" s="13"/>
    </row>
    <row r="24" spans="1:8" ht="15">
      <c r="A24" s="11" t="s">
        <v>855</v>
      </c>
      <c r="B24" s="17">
        <v>0</v>
      </c>
      <c r="C24" s="12" t="s">
        <v>856</v>
      </c>
      <c r="D24" s="17">
        <v>1.1499999999999999</v>
      </c>
      <c r="E24" s="12"/>
      <c r="F24" s="12"/>
      <c r="G24" s="12"/>
      <c r="H24" s="13"/>
    </row>
    <row r="25" spans="1:8" ht="15">
      <c r="A25" s="11" t="s">
        <v>857</v>
      </c>
      <c r="B25" s="17">
        <v>0.03</v>
      </c>
      <c r="C25" s="12" t="s">
        <v>858</v>
      </c>
      <c r="D25" s="17">
        <v>1.08</v>
      </c>
      <c r="E25" s="12"/>
      <c r="F25" s="12"/>
      <c r="G25" s="12"/>
      <c r="H25" s="13"/>
    </row>
    <row r="26" spans="1:8" ht="15">
      <c r="A26" s="11" t="s">
        <v>859</v>
      </c>
      <c r="B26" s="17">
        <v>0.1</v>
      </c>
      <c r="C26" s="12" t="s">
        <v>860</v>
      </c>
      <c r="D26" s="17">
        <v>1</v>
      </c>
      <c r="E26" s="12"/>
      <c r="F26" s="12"/>
      <c r="G26" s="12"/>
      <c r="H26" s="13"/>
    </row>
    <row r="27" spans="1:8" ht="15">
      <c r="A27" s="11" t="s">
        <v>861</v>
      </c>
      <c r="B27" s="17">
        <v>0.22</v>
      </c>
      <c r="C27" s="12" t="s">
        <v>862</v>
      </c>
      <c r="D27" s="17">
        <v>0.92</v>
      </c>
      <c r="E27" s="12"/>
      <c r="F27" s="12"/>
      <c r="G27" s="12"/>
      <c r="H27" s="13"/>
    </row>
    <row r="28" spans="1:8" ht="15">
      <c r="A28" s="11" t="s">
        <v>863</v>
      </c>
      <c r="B28" s="17">
        <v>0.28000000000000003</v>
      </c>
      <c r="C28" s="12" t="s">
        <v>864</v>
      </c>
      <c r="D28" s="17">
        <v>0.85</v>
      </c>
      <c r="E28" s="12"/>
      <c r="F28" s="12"/>
      <c r="G28" s="12"/>
      <c r="H28" s="13"/>
    </row>
    <row r="29" spans="1:8" ht="15">
      <c r="A29" s="11"/>
      <c r="B29" s="12"/>
      <c r="C29" s="12"/>
      <c r="D29" s="12"/>
      <c r="E29" s="12"/>
      <c r="F29" s="12"/>
      <c r="G29" s="12"/>
      <c r="H29" s="13"/>
    </row>
    <row r="30" spans="1:8" ht="15">
      <c r="A30" s="11"/>
      <c r="B30" s="12"/>
      <c r="C30" s="12"/>
      <c r="D30" s="12"/>
      <c r="E30" s="12"/>
      <c r="F30" s="12"/>
      <c r="G30" s="12"/>
      <c r="H30" s="13"/>
    </row>
    <row r="31" spans="1:8" ht="15">
      <c r="A31" s="11" t="s">
        <v>865</v>
      </c>
      <c r="B31" s="12" t="s">
        <v>866</v>
      </c>
      <c r="C31" s="12"/>
      <c r="D31" s="12"/>
      <c r="E31" s="12"/>
      <c r="F31" s="12"/>
      <c r="G31" s="12"/>
      <c r="H31" s="13"/>
    </row>
    <row r="32" spans="1:8" ht="15">
      <c r="A32" s="11" t="s">
        <v>867</v>
      </c>
      <c r="B32" s="12" t="s">
        <v>868</v>
      </c>
      <c r="C32" s="12"/>
      <c r="D32" s="12"/>
      <c r="E32" s="12"/>
      <c r="F32" s="12"/>
      <c r="G32" s="12"/>
      <c r="H32" s="13"/>
    </row>
    <row r="33" spans="1:8" ht="15">
      <c r="A33" s="11" t="s">
        <v>869</v>
      </c>
      <c r="B33" s="12" t="s">
        <v>870</v>
      </c>
      <c r="C33" s="12"/>
      <c r="D33" s="12"/>
      <c r="E33" s="12"/>
      <c r="F33" s="12"/>
      <c r="G33" s="12"/>
      <c r="H33" s="13"/>
    </row>
    <row r="34" spans="1:8" ht="15">
      <c r="A34" s="14" t="s">
        <v>871</v>
      </c>
      <c r="B34" s="15" t="s">
        <v>872</v>
      </c>
      <c r="C34" s="15"/>
      <c r="D34" s="15"/>
      <c r="E34" s="15"/>
      <c r="F34" s="15"/>
      <c r="G34" s="15"/>
      <c r="H34" s="16"/>
    </row>
  </sheetData>
  <mergeCells count="2">
    <mergeCell ref="A1:H1"/>
    <mergeCell ref="A2:H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baseColWidth="10" defaultColWidth="8.83203125" defaultRowHeight="14"/>
  <cols>
    <col min="1" max="1" width="35" customWidth="1"/>
    <col min="2" max="10" width="12" customWidth="1"/>
  </cols>
  <sheetData>
    <row r="1" spans="1:10" ht="34" customHeight="1">
      <c r="A1" s="22" t="s">
        <v>873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4" customHeight="1">
      <c r="A2" s="24" t="s">
        <v>874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5</v>
      </c>
      <c r="B4" s="2" t="s">
        <v>4</v>
      </c>
      <c r="C4" s="2" t="s">
        <v>875</v>
      </c>
      <c r="D4" s="2" t="s">
        <v>876</v>
      </c>
      <c r="E4" s="2" t="s">
        <v>877</v>
      </c>
      <c r="F4" s="2" t="s">
        <v>878</v>
      </c>
      <c r="G4" s="2" t="s">
        <v>879</v>
      </c>
      <c r="H4" s="2" t="s">
        <v>880</v>
      </c>
      <c r="I4" s="2" t="s">
        <v>881</v>
      </c>
      <c r="J4" s="2" t="s">
        <v>882</v>
      </c>
    </row>
    <row r="5" spans="1:10" ht="15">
      <c r="A5" s="1" t="s">
        <v>22</v>
      </c>
      <c r="B5" s="1" t="s">
        <v>21</v>
      </c>
      <c r="C5" s="3">
        <f>COUNTIF(参数总表!$D$5:$D$370,A5)</f>
        <v>20</v>
      </c>
      <c r="D5" s="18">
        <f>ROUND(AVERAGEIF(参数总表!$D$5:$D$370,A5,参数总表!$G$5:$G$370),1)</f>
        <v>2.6</v>
      </c>
      <c r="E5" s="18">
        <f>ROUND(AVERAGEIF(参数总表!$D$5:$D$370,A5,参数总表!$H$5:$H$370),1)</f>
        <v>86.7</v>
      </c>
      <c r="F5" s="18">
        <f>ROUND(AVERAGEIF(参数总表!$D$5:$D$370,A5,参数总表!$I$5:$I$370),1)</f>
        <v>82.6</v>
      </c>
      <c r="G5" s="18">
        <f>ROUND(AVERAGEIF(参数总表!$D$5:$D$370,A5,参数总表!$J$5:$J$370),1)</f>
        <v>82.9</v>
      </c>
      <c r="H5" s="18">
        <f>ROUND(AVERAGEIF(参数总表!$D$5:$D$370,A5,参数总表!$K$5:$K$370),1)</f>
        <v>86.6</v>
      </c>
      <c r="I5" s="18">
        <f>ROUND(AVERAGEIF(参数总表!$D$5:$D$370,A5,参数总表!$L$5:$L$370),1)</f>
        <v>79.099999999999994</v>
      </c>
      <c r="J5" s="18">
        <f>ROUND(AVERAGEIF(参数总表!$D$5:$D$370,A5,参数总表!$M$5:$M$370),1)</f>
        <v>73</v>
      </c>
    </row>
    <row r="6" spans="1:10" ht="15">
      <c r="A6" s="1" t="s">
        <v>72</v>
      </c>
      <c r="B6" s="1" t="s">
        <v>21</v>
      </c>
      <c r="C6" s="3">
        <f>COUNTIF(参数总表!$D$5:$D$370,A6)</f>
        <v>24</v>
      </c>
      <c r="D6" s="18">
        <f>ROUND(AVERAGEIF(参数总表!$D$5:$D$370,A6,参数总表!$G$5:$G$370),1)</f>
        <v>4.8</v>
      </c>
      <c r="E6" s="18">
        <f>ROUND(AVERAGEIF(参数总表!$D$5:$D$370,A6,参数总表!$H$5:$H$370),1)</f>
        <v>68.3</v>
      </c>
      <c r="F6" s="18">
        <f>ROUND(AVERAGEIF(参数总表!$D$5:$D$370,A6,参数总表!$I$5:$I$370),1)</f>
        <v>64.8</v>
      </c>
      <c r="G6" s="18">
        <f>ROUND(AVERAGEIF(参数总表!$D$5:$D$370,A6,参数总表!$J$5:$J$370),1)</f>
        <v>58.3</v>
      </c>
      <c r="H6" s="18">
        <f>ROUND(AVERAGEIF(参数总表!$D$5:$D$370,A6,参数总表!$K$5:$K$370),1)</f>
        <v>61.7</v>
      </c>
      <c r="I6" s="18">
        <f>ROUND(AVERAGEIF(参数总表!$D$5:$D$370,A6,参数总表!$L$5:$L$370),1)</f>
        <v>66</v>
      </c>
      <c r="J6" s="18">
        <f>ROUND(AVERAGEIF(参数总表!$D$5:$D$370,A6,参数总表!$M$5:$M$370),1)</f>
        <v>73.900000000000006</v>
      </c>
    </row>
    <row r="7" spans="1:10" ht="15">
      <c r="A7" s="1" t="s">
        <v>124</v>
      </c>
      <c r="B7" s="1" t="s">
        <v>123</v>
      </c>
      <c r="C7" s="3">
        <f>COUNTIF(参数总表!$D$5:$D$370,A7)</f>
        <v>20</v>
      </c>
      <c r="D7" s="18">
        <f>ROUND(AVERAGEIF(参数总表!$D$5:$D$370,A7,参数总表!$G$5:$G$370),1)</f>
        <v>3</v>
      </c>
      <c r="E7" s="18">
        <f>ROUND(AVERAGEIF(参数总表!$D$5:$D$370,A7,参数总表!$H$5:$H$370),1)</f>
        <v>82.1</v>
      </c>
      <c r="F7" s="18">
        <f>ROUND(AVERAGEIF(参数总表!$D$5:$D$370,A7,参数总表!$I$5:$I$370),1)</f>
        <v>81.8</v>
      </c>
      <c r="G7" s="18">
        <f>ROUND(AVERAGEIF(参数总表!$D$5:$D$370,A7,参数总表!$J$5:$J$370),1)</f>
        <v>73.400000000000006</v>
      </c>
      <c r="H7" s="18">
        <f>ROUND(AVERAGEIF(参数总表!$D$5:$D$370,A7,参数总表!$K$5:$K$370),1)</f>
        <v>80.5</v>
      </c>
      <c r="I7" s="18">
        <f>ROUND(AVERAGEIF(参数总表!$D$5:$D$370,A7,参数总表!$L$5:$L$370),1)</f>
        <v>76.599999999999994</v>
      </c>
      <c r="J7" s="18">
        <f>ROUND(AVERAGEIF(参数总表!$D$5:$D$370,A7,参数总表!$M$5:$M$370),1)</f>
        <v>77</v>
      </c>
    </row>
    <row r="8" spans="1:10" ht="15">
      <c r="A8" s="1" t="s">
        <v>171</v>
      </c>
      <c r="B8" s="1" t="s">
        <v>123</v>
      </c>
      <c r="C8" s="3">
        <f>COUNTIF(参数总表!$D$5:$D$370,A8)</f>
        <v>22</v>
      </c>
      <c r="D8" s="18">
        <f>ROUND(AVERAGEIF(参数总表!$D$5:$D$370,A8,参数总表!$G$5:$G$370),1)</f>
        <v>5</v>
      </c>
      <c r="E8" s="18">
        <f>ROUND(AVERAGEIF(参数总表!$D$5:$D$370,A8,参数总表!$H$5:$H$370),1)</f>
        <v>63.4</v>
      </c>
      <c r="F8" s="18">
        <f>ROUND(AVERAGEIF(参数总表!$D$5:$D$370,A8,参数总表!$I$5:$I$370),1)</f>
        <v>64.3</v>
      </c>
      <c r="G8" s="18">
        <f>ROUND(AVERAGEIF(参数总表!$D$5:$D$370,A8,参数总表!$J$5:$J$370),1)</f>
        <v>47</v>
      </c>
      <c r="H8" s="18">
        <f>ROUND(AVERAGEIF(参数总表!$D$5:$D$370,A8,参数总表!$K$5:$K$370),1)</f>
        <v>54.5</v>
      </c>
      <c r="I8" s="18">
        <f>ROUND(AVERAGEIF(参数总表!$D$5:$D$370,A8,参数总表!$L$5:$L$370),1)</f>
        <v>63.6</v>
      </c>
      <c r="J8" s="18">
        <f>ROUND(AVERAGEIF(参数总表!$D$5:$D$370,A8,参数总表!$M$5:$M$370),1)</f>
        <v>81.8</v>
      </c>
    </row>
    <row r="9" spans="1:10" ht="15">
      <c r="A9" s="1" t="s">
        <v>219</v>
      </c>
      <c r="B9" s="1" t="s">
        <v>218</v>
      </c>
      <c r="C9" s="3">
        <f>COUNTIF(参数总表!$D$5:$D$370,A9)</f>
        <v>20</v>
      </c>
      <c r="D9" s="18">
        <f>ROUND(AVERAGEIF(参数总表!$D$5:$D$370,A9,参数总表!$G$5:$G$370),1)</f>
        <v>3</v>
      </c>
      <c r="E9" s="18">
        <f>ROUND(AVERAGEIF(参数总表!$D$5:$D$370,A9,参数总表!$H$5:$H$370),1)</f>
        <v>82.8</v>
      </c>
      <c r="F9" s="18">
        <f>ROUND(AVERAGEIF(参数总表!$D$5:$D$370,A9,参数总表!$I$5:$I$370),1)</f>
        <v>78.3</v>
      </c>
      <c r="G9" s="18">
        <f>ROUND(AVERAGEIF(参数总表!$D$5:$D$370,A9,参数总表!$J$5:$J$370),1)</f>
        <v>71.900000000000006</v>
      </c>
      <c r="H9" s="18">
        <f>ROUND(AVERAGEIF(参数总表!$D$5:$D$370,A9,参数总表!$K$5:$K$370),1)</f>
        <v>78.900000000000006</v>
      </c>
      <c r="I9" s="18">
        <f>ROUND(AVERAGEIF(参数总表!$D$5:$D$370,A9,参数总表!$L$5:$L$370),1)</f>
        <v>76</v>
      </c>
      <c r="J9" s="18">
        <f>ROUND(AVERAGEIF(参数总表!$D$5:$D$370,A9,参数总表!$M$5:$M$370),1)</f>
        <v>71.599999999999994</v>
      </c>
    </row>
    <row r="10" spans="1:10" ht="15">
      <c r="A10" s="1" t="s">
        <v>263</v>
      </c>
      <c r="B10" s="1" t="s">
        <v>218</v>
      </c>
      <c r="C10" s="3">
        <f>COUNTIF(参数总表!$D$5:$D$370,A10)</f>
        <v>20</v>
      </c>
      <c r="D10" s="18">
        <f>ROUND(AVERAGEIF(参数总表!$D$5:$D$370,A10,参数总表!$G$5:$G$370),1)</f>
        <v>5</v>
      </c>
      <c r="E10" s="18">
        <f>ROUND(AVERAGEIF(参数总表!$D$5:$D$370,A10,参数总表!$H$5:$H$370),1)</f>
        <v>62.7</v>
      </c>
      <c r="F10" s="18">
        <f>ROUND(AVERAGEIF(参数总表!$D$5:$D$370,A10,参数总表!$I$5:$I$370),1)</f>
        <v>61.7</v>
      </c>
      <c r="G10" s="18">
        <f>ROUND(AVERAGEIF(参数总表!$D$5:$D$370,A10,参数总表!$J$5:$J$370),1)</f>
        <v>47.1</v>
      </c>
      <c r="H10" s="18">
        <f>ROUND(AVERAGEIF(参数总表!$D$5:$D$370,A10,参数总表!$K$5:$K$370),1)</f>
        <v>53.5</v>
      </c>
      <c r="I10" s="18">
        <f>ROUND(AVERAGEIF(参数总表!$D$5:$D$370,A10,参数总表!$L$5:$L$370),1)</f>
        <v>63</v>
      </c>
      <c r="J10" s="18">
        <f>ROUND(AVERAGEIF(参数总表!$D$5:$D$370,A10,参数总表!$M$5:$M$370),1)</f>
        <v>77.7</v>
      </c>
    </row>
    <row r="11" spans="1:10" ht="15">
      <c r="A11" s="1" t="s">
        <v>306</v>
      </c>
      <c r="B11" s="1" t="s">
        <v>305</v>
      </c>
      <c r="C11" s="3">
        <f>COUNTIF(参数总表!$D$5:$D$370,A11)</f>
        <v>18</v>
      </c>
      <c r="D11" s="18">
        <f>ROUND(AVERAGEIF(参数总表!$D$5:$D$370,A11,参数总表!$G$5:$G$370),1)</f>
        <v>3.2</v>
      </c>
      <c r="E11" s="18">
        <f>ROUND(AVERAGEIF(参数总表!$D$5:$D$370,A11,参数总表!$H$5:$H$370),1)</f>
        <v>81.3</v>
      </c>
      <c r="F11" s="18">
        <f>ROUND(AVERAGEIF(参数总表!$D$5:$D$370,A11,参数总表!$I$5:$I$370),1)</f>
        <v>81</v>
      </c>
      <c r="G11" s="18">
        <f>ROUND(AVERAGEIF(参数总表!$D$5:$D$370,A11,参数总表!$J$5:$J$370),1)</f>
        <v>70.599999999999994</v>
      </c>
      <c r="H11" s="18">
        <f>ROUND(AVERAGEIF(参数总表!$D$5:$D$370,A11,参数总表!$K$5:$K$370),1)</f>
        <v>77.8</v>
      </c>
      <c r="I11" s="18">
        <f>ROUND(AVERAGEIF(参数总表!$D$5:$D$370,A11,参数总表!$L$5:$L$370),1)</f>
        <v>75.400000000000006</v>
      </c>
      <c r="J11" s="18">
        <f>ROUND(AVERAGEIF(参数总表!$D$5:$D$370,A11,参数总表!$M$5:$M$370),1)</f>
        <v>80.3</v>
      </c>
    </row>
    <row r="12" spans="1:10" ht="15">
      <c r="A12" s="1" t="s">
        <v>347</v>
      </c>
      <c r="B12" s="1" t="s">
        <v>305</v>
      </c>
      <c r="C12" s="3">
        <f>COUNTIF(参数总表!$D$5:$D$370,A12)</f>
        <v>18</v>
      </c>
      <c r="D12" s="18">
        <f>ROUND(AVERAGEIF(参数总表!$D$5:$D$370,A12,参数总表!$G$5:$G$370),1)</f>
        <v>4.9000000000000004</v>
      </c>
      <c r="E12" s="18">
        <f>ROUND(AVERAGEIF(参数总表!$D$5:$D$370,A12,参数总表!$H$5:$H$370),1)</f>
        <v>64.900000000000006</v>
      </c>
      <c r="F12" s="18">
        <f>ROUND(AVERAGEIF(参数总表!$D$5:$D$370,A12,参数总表!$I$5:$I$370),1)</f>
        <v>65.3</v>
      </c>
      <c r="G12" s="18">
        <f>ROUND(AVERAGEIF(参数总表!$D$5:$D$370,A12,参数总表!$J$5:$J$370),1)</f>
        <v>48.7</v>
      </c>
      <c r="H12" s="18">
        <f>ROUND(AVERAGEIF(参数总表!$D$5:$D$370,A12,参数总表!$K$5:$K$370),1)</f>
        <v>53.9</v>
      </c>
      <c r="I12" s="18">
        <f>ROUND(AVERAGEIF(参数总表!$D$5:$D$370,A12,参数总表!$L$5:$L$370),1)</f>
        <v>63.9</v>
      </c>
      <c r="J12" s="18">
        <f>ROUND(AVERAGEIF(参数总表!$D$5:$D$370,A12,参数总表!$M$5:$M$370),1)</f>
        <v>81.400000000000006</v>
      </c>
    </row>
    <row r="13" spans="1:10" ht="15">
      <c r="A13" s="1" t="s">
        <v>386</v>
      </c>
      <c r="B13" s="1" t="s">
        <v>385</v>
      </c>
      <c r="C13" s="3">
        <f>COUNTIF(参数总表!$D$5:$D$370,A13)</f>
        <v>18</v>
      </c>
      <c r="D13" s="18">
        <f>ROUND(AVERAGEIF(参数总表!$D$5:$D$370,A13,参数总表!$G$5:$G$370),1)</f>
        <v>3.2</v>
      </c>
      <c r="E13" s="18">
        <f>ROUND(AVERAGEIF(参数总表!$D$5:$D$370,A13,参数总表!$H$5:$H$370),1)</f>
        <v>80.3</v>
      </c>
      <c r="F13" s="18">
        <f>ROUND(AVERAGEIF(参数总表!$D$5:$D$370,A13,参数总表!$I$5:$I$370),1)</f>
        <v>81.400000000000006</v>
      </c>
      <c r="G13" s="18">
        <f>ROUND(AVERAGEIF(参数总表!$D$5:$D$370,A13,参数总表!$J$5:$J$370),1)</f>
        <v>70.099999999999994</v>
      </c>
      <c r="H13" s="18">
        <f>ROUND(AVERAGEIF(参数总表!$D$5:$D$370,A13,参数总表!$K$5:$K$370),1)</f>
        <v>77.099999999999994</v>
      </c>
      <c r="I13" s="18">
        <f>ROUND(AVERAGEIF(参数总表!$D$5:$D$370,A13,参数总表!$L$5:$L$370),1)</f>
        <v>73.8</v>
      </c>
      <c r="J13" s="18">
        <f>ROUND(AVERAGEIF(参数总表!$D$5:$D$370,A13,参数总表!$M$5:$M$370),1)</f>
        <v>78.900000000000006</v>
      </c>
    </row>
    <row r="14" spans="1:10" ht="15">
      <c r="A14" s="1" t="s">
        <v>428</v>
      </c>
      <c r="B14" s="1" t="s">
        <v>385</v>
      </c>
      <c r="C14" s="3">
        <f>COUNTIF(参数总表!$D$5:$D$370,A14)</f>
        <v>18</v>
      </c>
      <c r="D14" s="18">
        <f>ROUND(AVERAGEIF(参数总表!$D$5:$D$370,A14,参数总表!$G$5:$G$370),1)</f>
        <v>4.8</v>
      </c>
      <c r="E14" s="18">
        <f>ROUND(AVERAGEIF(参数总表!$D$5:$D$370,A14,参数总表!$H$5:$H$370),1)</f>
        <v>65</v>
      </c>
      <c r="F14" s="18">
        <f>ROUND(AVERAGEIF(参数总表!$D$5:$D$370,A14,参数总表!$I$5:$I$370),1)</f>
        <v>66.3</v>
      </c>
      <c r="G14" s="18">
        <f>ROUND(AVERAGEIF(参数总表!$D$5:$D$370,A14,参数总表!$J$5:$J$370),1)</f>
        <v>49.2</v>
      </c>
      <c r="H14" s="18">
        <f>ROUND(AVERAGEIF(参数总表!$D$5:$D$370,A14,参数总表!$K$5:$K$370),1)</f>
        <v>54.2</v>
      </c>
      <c r="I14" s="18">
        <f>ROUND(AVERAGEIF(参数总表!$D$5:$D$370,A14,参数总表!$L$5:$L$370),1)</f>
        <v>63.7</v>
      </c>
      <c r="J14" s="18">
        <f>ROUND(AVERAGEIF(参数总表!$D$5:$D$370,A14,参数总表!$M$5:$M$370),1)</f>
        <v>82.4</v>
      </c>
    </row>
    <row r="15" spans="1:10" ht="15">
      <c r="A15" s="1" t="s">
        <v>467</v>
      </c>
      <c r="B15" s="1" t="s">
        <v>466</v>
      </c>
      <c r="C15" s="3">
        <f>COUNTIF(参数总表!$D$5:$D$370,A15)</f>
        <v>18</v>
      </c>
      <c r="D15" s="18">
        <f>ROUND(AVERAGEIF(参数总表!$D$5:$D$370,A15,参数总表!$G$5:$G$370),1)</f>
        <v>4.0999999999999996</v>
      </c>
      <c r="E15" s="18">
        <f>ROUND(AVERAGEIF(参数总表!$D$5:$D$370,A15,参数总表!$H$5:$H$370),1)</f>
        <v>72.7</v>
      </c>
      <c r="F15" s="18">
        <f>ROUND(AVERAGEIF(参数总表!$D$5:$D$370,A15,参数总表!$I$5:$I$370),1)</f>
        <v>75.8</v>
      </c>
      <c r="G15" s="18">
        <f>ROUND(AVERAGEIF(参数总表!$D$5:$D$370,A15,参数总表!$J$5:$J$370),1)</f>
        <v>52.5</v>
      </c>
      <c r="H15" s="18">
        <f>ROUND(AVERAGEIF(参数总表!$D$5:$D$370,A15,参数总表!$K$5:$K$370),1)</f>
        <v>64.099999999999994</v>
      </c>
      <c r="I15" s="18">
        <f>ROUND(AVERAGEIF(参数总表!$D$5:$D$370,A15,参数总表!$L$5:$L$370),1)</f>
        <v>67.599999999999994</v>
      </c>
      <c r="J15" s="18">
        <f>ROUND(AVERAGEIF(参数总表!$D$5:$D$370,A15,参数总表!$M$5:$M$370),1)</f>
        <v>87</v>
      </c>
    </row>
    <row r="16" spans="1:10" ht="15">
      <c r="A16" s="1" t="s">
        <v>507</v>
      </c>
      <c r="B16" s="1" t="s">
        <v>506</v>
      </c>
      <c r="C16" s="3">
        <f>COUNTIF(参数总表!$D$5:$D$370,A16)</f>
        <v>18</v>
      </c>
      <c r="D16" s="18">
        <f>ROUND(AVERAGEIF(参数总表!$D$5:$D$370,A16,参数总表!$G$5:$G$370),1)</f>
        <v>4.2</v>
      </c>
      <c r="E16" s="18">
        <f>ROUND(AVERAGEIF(参数总表!$D$5:$D$370,A16,参数总表!$H$5:$H$370),1)</f>
        <v>69.7</v>
      </c>
      <c r="F16" s="18">
        <f>ROUND(AVERAGEIF(参数总表!$D$5:$D$370,A16,参数总表!$I$5:$I$370),1)</f>
        <v>75.5</v>
      </c>
      <c r="G16" s="18">
        <f>ROUND(AVERAGEIF(参数总表!$D$5:$D$370,A16,参数总表!$J$5:$J$370),1)</f>
        <v>51.2</v>
      </c>
      <c r="H16" s="18">
        <f>ROUND(AVERAGEIF(参数总表!$D$5:$D$370,A16,参数总表!$K$5:$K$370),1)</f>
        <v>63.1</v>
      </c>
      <c r="I16" s="18">
        <f>ROUND(AVERAGEIF(参数总表!$D$5:$D$370,A16,参数总表!$L$5:$L$370),1)</f>
        <v>66.900000000000006</v>
      </c>
      <c r="J16" s="18">
        <f>ROUND(AVERAGEIF(参数总表!$D$5:$D$370,A16,参数总表!$M$5:$M$370),1)</f>
        <v>85.7</v>
      </c>
    </row>
    <row r="17" spans="1:10" ht="15">
      <c r="A17" s="1" t="s">
        <v>546</v>
      </c>
      <c r="B17" s="1" t="s">
        <v>545</v>
      </c>
      <c r="C17" s="3">
        <f>COUNTIF(参数总表!$D$5:$D$370,A17)</f>
        <v>18</v>
      </c>
      <c r="D17" s="18">
        <f>ROUND(AVERAGEIF(参数总表!$D$5:$D$370,A17,参数总表!$G$5:$G$370),1)</f>
        <v>4.2</v>
      </c>
      <c r="E17" s="18">
        <f>ROUND(AVERAGEIF(参数总表!$D$5:$D$370,A17,参数总表!$H$5:$H$370),1)</f>
        <v>70.8</v>
      </c>
      <c r="F17" s="18">
        <f>ROUND(AVERAGEIF(参数总表!$D$5:$D$370,A17,参数总表!$I$5:$I$370),1)</f>
        <v>74.2</v>
      </c>
      <c r="G17" s="18">
        <f>ROUND(AVERAGEIF(参数总表!$D$5:$D$370,A17,参数总表!$J$5:$J$370),1)</f>
        <v>49.9</v>
      </c>
      <c r="H17" s="18">
        <f>ROUND(AVERAGEIF(参数总表!$D$5:$D$370,A17,参数总表!$K$5:$K$370),1)</f>
        <v>60.9</v>
      </c>
      <c r="I17" s="18">
        <f>ROUND(AVERAGEIF(参数总表!$D$5:$D$370,A17,参数总表!$L$5:$L$370),1)</f>
        <v>67.099999999999994</v>
      </c>
      <c r="J17" s="18">
        <f>ROUND(AVERAGEIF(参数总表!$D$5:$D$370,A17,参数总表!$M$5:$M$370),1)</f>
        <v>85</v>
      </c>
    </row>
    <row r="18" spans="1:10" ht="15">
      <c r="A18" s="1" t="s">
        <v>585</v>
      </c>
      <c r="B18" s="1" t="s">
        <v>584</v>
      </c>
      <c r="C18" s="3">
        <f>COUNTIF(参数总表!$D$5:$D$370,A18)</f>
        <v>20</v>
      </c>
      <c r="D18" s="18">
        <f>ROUND(AVERAGEIF(参数总表!$D$5:$D$370,A18,参数总表!$G$5:$G$370),1)</f>
        <v>4.5</v>
      </c>
      <c r="E18" s="18">
        <f>ROUND(AVERAGEIF(参数总表!$D$5:$D$370,A18,参数总表!$H$5:$H$370),1)</f>
        <v>69.900000000000006</v>
      </c>
      <c r="F18" s="18">
        <f>ROUND(AVERAGEIF(参数总表!$D$5:$D$370,A18,参数总表!$I$5:$I$370),1)</f>
        <v>70.599999999999994</v>
      </c>
      <c r="G18" s="18">
        <f>ROUND(AVERAGEIF(参数总表!$D$5:$D$370,A18,参数总表!$J$5:$J$370),1)</f>
        <v>48</v>
      </c>
      <c r="H18" s="18">
        <f>ROUND(AVERAGEIF(参数总表!$D$5:$D$370,A18,参数总表!$K$5:$K$370),1)</f>
        <v>58.3</v>
      </c>
      <c r="I18" s="18">
        <f>ROUND(AVERAGEIF(参数总表!$D$5:$D$370,A18,参数总表!$L$5:$L$370),1)</f>
        <v>65.7</v>
      </c>
      <c r="J18" s="18">
        <f>ROUND(AVERAGEIF(参数总表!$D$5:$D$370,A18,参数总表!$M$5:$M$370),1)</f>
        <v>80.400000000000006</v>
      </c>
    </row>
    <row r="19" spans="1:10" ht="15">
      <c r="A19" s="1" t="s">
        <v>628</v>
      </c>
      <c r="B19" s="1" t="s">
        <v>627</v>
      </c>
      <c r="C19" s="3">
        <f>COUNTIF(参数总表!$D$5:$D$370,A19)</f>
        <v>12</v>
      </c>
      <c r="D19" s="18">
        <f>ROUND(AVERAGEIF(参数总表!$D$5:$D$370,A19,参数总表!$G$5:$G$370),1)</f>
        <v>4.7</v>
      </c>
      <c r="E19" s="18">
        <f>ROUND(AVERAGEIF(参数总表!$D$5:$D$370,A19,参数总表!$H$5:$H$370),1)</f>
        <v>67.400000000000006</v>
      </c>
      <c r="F19" s="18">
        <f>ROUND(AVERAGEIF(参数总表!$D$5:$D$370,A19,参数总表!$I$5:$I$370),1)</f>
        <v>66.099999999999994</v>
      </c>
      <c r="G19" s="18">
        <f>ROUND(AVERAGEIF(参数总表!$D$5:$D$370,A19,参数总表!$J$5:$J$370),1)</f>
        <v>44.3</v>
      </c>
      <c r="H19" s="18">
        <f>ROUND(AVERAGEIF(参数总表!$D$5:$D$370,A19,参数总表!$K$5:$K$370),1)</f>
        <v>55.8</v>
      </c>
      <c r="I19" s="18">
        <f>ROUND(AVERAGEIF(参数总表!$D$5:$D$370,A19,参数总表!$L$5:$L$370),1)</f>
        <v>65.099999999999994</v>
      </c>
      <c r="J19" s="18">
        <f>ROUND(AVERAGEIF(参数总表!$D$5:$D$370,A19,参数总表!$M$5:$M$370),1)</f>
        <v>77.900000000000006</v>
      </c>
    </row>
    <row r="20" spans="1:10" ht="15">
      <c r="A20" s="1" t="s">
        <v>655</v>
      </c>
      <c r="B20" s="1" t="s">
        <v>654</v>
      </c>
      <c r="C20" s="3">
        <f>COUNTIF(参数总表!$D$5:$D$370,A20)</f>
        <v>20</v>
      </c>
      <c r="D20" s="18">
        <f>ROUND(AVERAGEIF(参数总表!$D$5:$D$370,A20,参数总表!$G$5:$G$370),1)</f>
        <v>3.7</v>
      </c>
      <c r="E20" s="18">
        <f>ROUND(AVERAGEIF(参数总表!$D$5:$D$370,A20,参数总表!$H$5:$H$370),1)</f>
        <v>74.099999999999994</v>
      </c>
      <c r="F20" s="18">
        <f>ROUND(AVERAGEIF(参数总表!$D$5:$D$370,A20,参数总表!$I$5:$I$370),1)</f>
        <v>80.7</v>
      </c>
      <c r="G20" s="18">
        <f>ROUND(AVERAGEIF(参数总表!$D$5:$D$370,A20,参数总表!$J$5:$J$370),1)</f>
        <v>56.8</v>
      </c>
      <c r="H20" s="18">
        <f>ROUND(AVERAGEIF(参数总表!$D$5:$D$370,A20,参数总表!$K$5:$K$370),1)</f>
        <v>68.900000000000006</v>
      </c>
      <c r="I20" s="18">
        <f>ROUND(AVERAGEIF(参数总表!$D$5:$D$370,A20,参数总表!$L$5:$L$370),1)</f>
        <v>71.099999999999994</v>
      </c>
      <c r="J20" s="18">
        <f>ROUND(AVERAGEIF(参数总表!$D$5:$D$370,A20,参数总表!$M$5:$M$370),1)</f>
        <v>82.4</v>
      </c>
    </row>
    <row r="21" spans="1:10" ht="15">
      <c r="A21" s="1" t="s">
        <v>698</v>
      </c>
      <c r="B21" s="1" t="s">
        <v>697</v>
      </c>
      <c r="C21" s="3">
        <f>COUNTIF(参数总表!$D$5:$D$370,A21)</f>
        <v>30</v>
      </c>
      <c r="D21" s="18">
        <f>ROUND(AVERAGEIF(参数总表!$D$5:$D$370,A21,参数总表!$G$5:$G$370),1)</f>
        <v>4.2</v>
      </c>
      <c r="E21" s="18">
        <f>ROUND(AVERAGEIF(参数总表!$D$5:$D$370,A21,参数总表!$H$5:$H$370),1)</f>
        <v>69.400000000000006</v>
      </c>
      <c r="F21" s="18">
        <f>ROUND(AVERAGEIF(参数总表!$D$5:$D$370,A21,参数总表!$I$5:$I$370),1)</f>
        <v>76.2</v>
      </c>
      <c r="G21" s="18">
        <f>ROUND(AVERAGEIF(参数总表!$D$5:$D$370,A21,参数总表!$J$5:$J$370),1)</f>
        <v>46.8</v>
      </c>
      <c r="H21" s="18">
        <f>ROUND(AVERAGEIF(参数总表!$D$5:$D$370,A21,参数总表!$K$5:$K$370),1)</f>
        <v>64.099999999999994</v>
      </c>
      <c r="I21" s="18">
        <f>ROUND(AVERAGEIF(参数总表!$D$5:$D$370,A21,参数总表!$L$5:$L$370),1)</f>
        <v>67.400000000000006</v>
      </c>
      <c r="J21" s="18">
        <f>ROUND(AVERAGEIF(参数总表!$D$5:$D$370,A21,参数总表!$M$5:$M$370),1)</f>
        <v>84.1</v>
      </c>
    </row>
    <row r="22" spans="1:10" ht="15">
      <c r="A22" s="1" t="s">
        <v>761</v>
      </c>
      <c r="B22" s="1" t="s">
        <v>760</v>
      </c>
      <c r="C22" s="3">
        <f>COUNTIF(参数总表!$D$5:$D$370,A22)</f>
        <v>16</v>
      </c>
      <c r="D22" s="18">
        <f>ROUND(AVERAGEIF(参数总表!$D$5:$D$370,A22,参数总表!$G$5:$G$370),1)</f>
        <v>4.5999999999999996</v>
      </c>
      <c r="E22" s="18">
        <f>ROUND(AVERAGEIF(参数总表!$D$5:$D$370,A22,参数总表!$H$5:$H$370),1)</f>
        <v>67.900000000000006</v>
      </c>
      <c r="F22" s="18">
        <f>ROUND(AVERAGEIF(参数总表!$D$5:$D$370,A22,参数总表!$I$5:$I$370),1)</f>
        <v>63.8</v>
      </c>
      <c r="G22" s="18">
        <f>ROUND(AVERAGEIF(参数总表!$D$5:$D$370,A22,参数总表!$J$5:$J$370),1)</f>
        <v>58.5</v>
      </c>
      <c r="H22" s="18">
        <f>ROUND(AVERAGEIF(参数总表!$D$5:$D$370,A22,参数总表!$K$5:$K$370),1)</f>
        <v>60.9</v>
      </c>
      <c r="I22" s="18">
        <f>ROUND(AVERAGEIF(参数总表!$D$5:$D$370,A22,参数总表!$L$5:$L$370),1)</f>
        <v>66.2</v>
      </c>
      <c r="J22" s="18">
        <f>ROUND(AVERAGEIF(参数总表!$D$5:$D$370,A22,参数总表!$M$5:$M$370),1)</f>
        <v>75.400000000000006</v>
      </c>
    </row>
    <row r="23" spans="1:10" ht="15">
      <c r="A23" s="1" t="s">
        <v>795</v>
      </c>
      <c r="B23" s="1" t="s">
        <v>760</v>
      </c>
      <c r="C23" s="3">
        <f>COUNTIF(参数总表!$D$5:$D$370,A23)</f>
        <v>16</v>
      </c>
      <c r="D23" s="18">
        <f>ROUND(AVERAGEIF(参数总表!$D$5:$D$370,A23,参数总表!$G$5:$G$370),1)</f>
        <v>6</v>
      </c>
      <c r="E23" s="18">
        <f>ROUND(AVERAGEIF(参数总表!$D$5:$D$370,A23,参数总表!$H$5:$H$370),1)</f>
        <v>52.5</v>
      </c>
      <c r="F23" s="18">
        <f>ROUND(AVERAGEIF(参数总表!$D$5:$D$370,A23,参数总表!$I$5:$I$370),1)</f>
        <v>49.4</v>
      </c>
      <c r="G23" s="18">
        <f>ROUND(AVERAGEIF(参数总表!$D$5:$D$370,A23,参数总表!$J$5:$J$370),1)</f>
        <v>34.4</v>
      </c>
      <c r="H23" s="18">
        <f>ROUND(AVERAGEIF(参数总表!$D$5:$D$370,A23,参数总表!$K$5:$K$370),1)</f>
        <v>35.4</v>
      </c>
      <c r="I23" s="18">
        <f>ROUND(AVERAGEIF(参数总表!$D$5:$D$370,A23,参数总表!$L$5:$L$370),1)</f>
        <v>56.4</v>
      </c>
      <c r="J23" s="18">
        <f>ROUND(AVERAGEIF(参数总表!$D$5:$D$370,A23,参数总表!$M$5:$M$370),1)</f>
        <v>88.9</v>
      </c>
    </row>
  </sheetData>
  <mergeCells count="2">
    <mergeCell ref="A1:J1"/>
    <mergeCell ref="A2:J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showGridLines="0" workbookViewId="0"/>
  </sheetViews>
  <sheetFormatPr baseColWidth="10" defaultColWidth="8.83203125" defaultRowHeight="14"/>
  <cols>
    <col min="1" max="1" width="28" customWidth="1"/>
    <col min="2" max="12" width="12" customWidth="1"/>
    <col min="13" max="13" width="22" customWidth="1"/>
  </cols>
  <sheetData>
    <row r="1" spans="1:13" ht="34" customHeight="1">
      <c r="A1" s="22" t="s">
        <v>883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4" customHeight="1">
      <c r="A2" s="24" t="s">
        <v>884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>
      <c r="A4" s="2" t="s">
        <v>7</v>
      </c>
      <c r="B4" s="2" t="s">
        <v>885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886</v>
      </c>
      <c r="H4" s="2" t="s">
        <v>887</v>
      </c>
      <c r="I4" s="2" t="s">
        <v>888</v>
      </c>
      <c r="J4" s="2" t="s">
        <v>889</v>
      </c>
      <c r="K4" s="2" t="s">
        <v>890</v>
      </c>
      <c r="L4" s="2" t="s">
        <v>891</v>
      </c>
      <c r="M4" s="2" t="s">
        <v>892</v>
      </c>
    </row>
    <row r="5" spans="1:13" ht="15">
      <c r="A5" s="1" t="s">
        <v>893</v>
      </c>
      <c r="B5" s="1">
        <f>VLOOKUP("Inter",参数总表!$F$5:$O$370,2,FALSE)</f>
        <v>1</v>
      </c>
      <c r="C5" s="1">
        <f>VLOOKUP("Inter",参数总表!$F$5:$O$370,3,FALSE)</f>
        <v>99</v>
      </c>
      <c r="D5" s="1">
        <f>VLOOKUP("Inter",参数总表!$F$5:$O$370,4,FALSE)</f>
        <v>95</v>
      </c>
      <c r="E5" s="1">
        <f>VLOOKUP("Inter",参数总表!$F$5:$O$370,5,FALSE)</f>
        <v>95</v>
      </c>
      <c r="F5" s="1">
        <f>VLOOKUP("Inter",参数总表!$F$5:$O$370,6,FALSE)</f>
        <v>98</v>
      </c>
      <c r="G5" s="1">
        <f>VLOOKUP("Inter",参数总表!$F$5:$O$370,7,FALSE)</f>
        <v>86</v>
      </c>
      <c r="H5" s="1">
        <f>VLOOKUP("Inter",参数总表!$F$5:$O$370,8,FALSE)</f>
        <v>70</v>
      </c>
      <c r="I5" s="1">
        <f>VLOOKUP("Inter",参数总表!$F$5:$O$370,9,FALSE)</f>
        <v>97</v>
      </c>
      <c r="J5" s="1">
        <f>VLOOKUP("Inter",参数总表!$F$5:$O$370,10,FALSE)</f>
        <v>98</v>
      </c>
      <c r="K5" s="1">
        <f>MATCH("Inter",参数总表!$F$5:$F$370,0)+4</f>
        <v>91</v>
      </c>
      <c r="L5" s="20" t="str">
        <f>IF(AND(B5=1,C5=95,D5=89,E5=95,F5=96,G5=86,H5=58),"通过","不一致")</f>
        <v>不一致</v>
      </c>
      <c r="M5" s="1" t="s">
        <v>894</v>
      </c>
    </row>
    <row r="6" spans="1:13" ht="15">
      <c r="A6" s="1" t="s">
        <v>235</v>
      </c>
      <c r="B6" s="1">
        <f>VLOOKUP("Como",参数总表!$F$5:$O$370,2,FALSE)</f>
        <v>2</v>
      </c>
      <c r="C6" s="1">
        <f>VLOOKUP("Como",参数总表!$F$5:$O$370,3,FALSE)</f>
        <v>88</v>
      </c>
      <c r="D6" s="1">
        <f>VLOOKUP("Como",参数总表!$F$5:$O$370,4,FALSE)</f>
        <v>76</v>
      </c>
      <c r="E6" s="1">
        <f>VLOOKUP("Como",参数总表!$F$5:$O$370,5,FALSE)</f>
        <v>78</v>
      </c>
      <c r="F6" s="1">
        <f>VLOOKUP("Como",参数总表!$F$5:$O$370,6,FALSE)</f>
        <v>82</v>
      </c>
      <c r="G6" s="1">
        <f>VLOOKUP("Como",参数总表!$F$5:$O$370,7,FALSE)</f>
        <v>80</v>
      </c>
      <c r="H6" s="1">
        <f>VLOOKUP("Como",参数总表!$F$5:$O$370,8,FALSE)</f>
        <v>80</v>
      </c>
      <c r="I6" s="1">
        <f>VLOOKUP("Como",参数总表!$F$5:$O$370,9,FALSE)</f>
        <v>82.4</v>
      </c>
      <c r="J6" s="1">
        <f>VLOOKUP("Como",参数总表!$F$5:$O$370,10,FALSE)</f>
        <v>86.4</v>
      </c>
      <c r="K6" s="1">
        <f>MATCH("Como",参数总表!$F$5:$F$370,0)+4</f>
        <v>97</v>
      </c>
      <c r="L6" s="20" t="str">
        <f>IF(AND(B6=2,C6=88,D6=76,E6=78,F6=82,G6=80,H6=62),"通过","不一致")</f>
        <v>不一致</v>
      </c>
      <c r="M6" s="1" t="s">
        <v>894</v>
      </c>
    </row>
    <row r="7" spans="1:13" ht="15">
      <c r="A7" s="1" t="s">
        <v>237</v>
      </c>
      <c r="B7" s="1">
        <f>VLOOKUP("Bologna",参数总表!$F$5:$O$370,2,FALSE)</f>
        <v>3</v>
      </c>
      <c r="C7" s="1">
        <f>VLOOKUP("Bologna",参数总表!$F$5:$O$370,3,FALSE)</f>
        <v>82</v>
      </c>
      <c r="D7" s="1">
        <f>VLOOKUP("Bologna",参数总表!$F$5:$O$370,4,FALSE)</f>
        <v>78</v>
      </c>
      <c r="E7" s="1">
        <f>VLOOKUP("Bologna",参数总表!$F$5:$O$370,5,FALSE)</f>
        <v>72</v>
      </c>
      <c r="F7" s="1">
        <f>VLOOKUP("Bologna",参数总表!$F$5:$O$370,6,FALSE)</f>
        <v>78</v>
      </c>
      <c r="G7" s="1">
        <f>VLOOKUP("Bologna",参数总表!$F$5:$O$370,7,FALSE)</f>
        <v>76</v>
      </c>
      <c r="H7" s="1">
        <f>VLOOKUP("Bologna",参数总表!$F$5:$O$370,8,FALSE)</f>
        <v>65</v>
      </c>
      <c r="I7" s="1">
        <f>VLOOKUP("Bologna",参数总表!$F$5:$O$370,9,FALSE)</f>
        <v>79.599999999999994</v>
      </c>
      <c r="J7" s="1">
        <f>VLOOKUP("Bologna",参数总表!$F$5:$O$370,10,FALSE)</f>
        <v>80.3</v>
      </c>
      <c r="K7" s="1">
        <f>MATCH("Bologna",参数总表!$F$5:$F$370,0)+4</f>
        <v>98</v>
      </c>
      <c r="L7" s="20" t="str">
        <f>IF(AND(B7=3,C7=82,D7=78,E7=72,F7=78,G7=76,H7=65),"通过","不一致")</f>
        <v>通过</v>
      </c>
      <c r="M7" s="1" t="s">
        <v>894</v>
      </c>
    </row>
    <row r="8" spans="1:13" ht="15">
      <c r="A8" s="1" t="s">
        <v>261</v>
      </c>
      <c r="B8" s="1">
        <f>VLOOKUP("Venezia",参数总表!$F$5:$O$370,2,FALSE)</f>
        <v>4</v>
      </c>
      <c r="C8" s="1">
        <f>VLOOKUP("Venezia",参数总表!$F$5:$O$370,3,FALSE)</f>
        <v>72</v>
      </c>
      <c r="D8" s="1">
        <f>VLOOKUP("Venezia",参数总表!$F$5:$O$370,4,FALSE)</f>
        <v>71</v>
      </c>
      <c r="E8" s="1">
        <f>VLOOKUP("Venezia",参数总表!$F$5:$O$370,5,FALSE)</f>
        <v>57</v>
      </c>
      <c r="F8" s="1">
        <f>VLOOKUP("Venezia",参数总表!$F$5:$O$370,6,FALSE)</f>
        <v>65</v>
      </c>
      <c r="G8" s="1">
        <f>VLOOKUP("Venezia",参数总表!$F$5:$O$370,7,FALSE)</f>
        <v>69</v>
      </c>
      <c r="H8" s="1">
        <f>VLOOKUP("Venezia",参数总表!$F$5:$O$370,8,FALSE)</f>
        <v>74</v>
      </c>
      <c r="I8" s="1">
        <f>VLOOKUP("Venezia",参数总表!$F$5:$O$370,9,FALSE)</f>
        <v>71.2</v>
      </c>
      <c r="J8" s="1">
        <f>VLOOKUP("Venezia",参数总表!$F$5:$O$370,10,FALSE)</f>
        <v>71</v>
      </c>
      <c r="K8" s="1">
        <f>MATCH("Venezia",参数总表!$F$5:$F$370,0)+4</f>
        <v>110</v>
      </c>
      <c r="L8" s="20" t="str">
        <f>IF(AND(B8=4,C8=72,D8=71,E8=57,F8=65,G8=69,H8=74),"通过","不一致")</f>
        <v>通过</v>
      </c>
      <c r="M8" s="1" t="s">
        <v>894</v>
      </c>
    </row>
    <row r="9" spans="1:13" ht="15">
      <c r="A9" s="1" t="s">
        <v>468</v>
      </c>
      <c r="B9" s="1">
        <f>VLOOKUP("Ajax",参数总表!$F$5:$O$370,2,FALSE)</f>
        <v>2</v>
      </c>
      <c r="C9" s="1">
        <f>VLOOKUP("Ajax",参数总表!$F$5:$O$370,3,FALSE)</f>
        <v>90</v>
      </c>
      <c r="D9" s="1">
        <f>VLOOKUP("Ajax",参数总表!$F$5:$O$370,4,FALSE)</f>
        <v>96</v>
      </c>
      <c r="E9" s="1">
        <f>VLOOKUP("Ajax",参数总表!$F$5:$O$370,5,FALSE)</f>
        <v>68</v>
      </c>
      <c r="F9" s="1">
        <f>VLOOKUP("Ajax",参数总表!$F$5:$O$370,6,FALSE)</f>
        <v>82</v>
      </c>
      <c r="G9" s="1">
        <f>VLOOKUP("Ajax",参数总表!$F$5:$O$370,7,FALSE)</f>
        <v>78</v>
      </c>
      <c r="H9" s="1">
        <f>VLOOKUP("Ajax",参数总表!$F$5:$O$370,8,FALSE)</f>
        <v>95</v>
      </c>
      <c r="I9" s="1">
        <f>VLOOKUP("Ajax",参数总表!$F$5:$O$370,9,FALSE)</f>
        <v>92.1</v>
      </c>
      <c r="J9" s="1">
        <f>VLOOKUP("Ajax",参数总表!$F$5:$O$370,10,FALSE)</f>
        <v>89.3</v>
      </c>
      <c r="K9" s="1">
        <f>MATCH("Ajax",参数总表!$F$5:$F$370,0)+4</f>
        <v>203</v>
      </c>
      <c r="L9" s="20" t="str">
        <f>IF(AND(B9=2,C9=90,D9=96,E9=68,F9=82,G9=78,H9=95),"通过","不一致")</f>
        <v>通过</v>
      </c>
      <c r="M9" s="1" t="s">
        <v>894</v>
      </c>
    </row>
    <row r="10" spans="1:13" ht="15">
      <c r="A10" s="1" t="s">
        <v>50</v>
      </c>
      <c r="B10" s="1">
        <f>VLOOKUP("Brighton &amp; Hove Albion",参数总表!$F$5:$O$370,2,FALSE)</f>
        <v>3</v>
      </c>
      <c r="C10" s="1">
        <f>VLOOKUP("Brighton &amp; Hove Albion",参数总表!$F$5:$O$370,3,FALSE)</f>
        <v>86</v>
      </c>
      <c r="D10" s="1">
        <f>VLOOKUP("Brighton &amp; Hove Albion",参数总表!$F$5:$O$370,4,FALSE)</f>
        <v>86</v>
      </c>
      <c r="E10" s="1">
        <f>VLOOKUP("Brighton &amp; Hove Albion",参数总表!$F$5:$O$370,5,FALSE)</f>
        <v>88</v>
      </c>
      <c r="F10" s="1">
        <f>VLOOKUP("Brighton &amp; Hove Albion",参数总表!$F$5:$O$370,6,FALSE)</f>
        <v>91</v>
      </c>
      <c r="G10" s="1">
        <f>VLOOKUP("Brighton &amp; Hove Albion",参数总表!$F$5:$O$370,7,FALSE)</f>
        <v>77</v>
      </c>
      <c r="H10" s="1">
        <f>VLOOKUP("Brighton &amp; Hove Albion",参数总表!$F$5:$O$370,8,FALSE)</f>
        <v>84</v>
      </c>
      <c r="I10" s="1">
        <f>VLOOKUP("Brighton &amp; Hove Albion",参数总表!$F$5:$O$370,9,FALSE)</f>
        <v>84.6</v>
      </c>
      <c r="J10" s="1">
        <f>VLOOKUP("Brighton &amp; Hove Albion",参数总表!$F$5:$O$370,10,FALSE)</f>
        <v>82.9</v>
      </c>
      <c r="K10" s="1">
        <f>MATCH("Brighton &amp; Hove Albion",参数总表!$F$5:$F$370,0)+4</f>
        <v>15</v>
      </c>
      <c r="L10" s="20" t="str">
        <f>IF(AND(B10=3,C10=86,D10=86,E10=88,F10=91,G10=77,H10=84),"通过","不一致")</f>
        <v>通过</v>
      </c>
      <c r="M10" s="1" t="s">
        <v>894</v>
      </c>
    </row>
    <row r="11" spans="1:13" ht="15">
      <c r="A11" s="1" t="s">
        <v>82</v>
      </c>
      <c r="B11" s="1">
        <f>VLOOKUP("West Ham United",参数总表!$F$5:$O$370,2,FALSE)</f>
        <v>4</v>
      </c>
      <c r="C11" s="1">
        <f>VLOOKUP("West Ham United",参数总表!$F$5:$O$370,3,FALSE)</f>
        <v>86</v>
      </c>
      <c r="D11" s="1">
        <f>VLOOKUP("West Ham United",参数总表!$F$5:$O$370,4,FALSE)</f>
        <v>78</v>
      </c>
      <c r="E11" s="1">
        <f>VLOOKUP("West Ham United",参数总表!$F$5:$O$370,5,FALSE)</f>
        <v>84</v>
      </c>
      <c r="F11" s="1">
        <f>VLOOKUP("West Ham United",参数总表!$F$5:$O$370,6,FALSE)</f>
        <v>88</v>
      </c>
      <c r="G11" s="1">
        <f>VLOOKUP("West Ham United",参数总表!$F$5:$O$370,7,FALSE)</f>
        <v>74</v>
      </c>
      <c r="H11" s="1">
        <f>VLOOKUP("West Ham United",参数总表!$F$5:$O$370,8,FALSE)</f>
        <v>62</v>
      </c>
      <c r="I11" s="1">
        <f>VLOOKUP("West Ham United",参数总表!$F$5:$O$370,9,FALSE)</f>
        <v>79.2</v>
      </c>
      <c r="J11" s="1">
        <f>VLOOKUP("West Ham United",参数总表!$F$5:$O$370,10,FALSE)</f>
        <v>78</v>
      </c>
      <c r="K11" s="1">
        <f>MATCH("West Ham United",参数总表!$F$5:$F$370,0)+4</f>
        <v>29</v>
      </c>
      <c r="L11" s="20" t="str">
        <f>IF(AND(B11=4,C11=86,D11=78,E11=84,F11=88,G11=74,H11=62),"通过","不一致")</f>
        <v>通过</v>
      </c>
      <c r="M11" s="1" t="s">
        <v>894</v>
      </c>
    </row>
    <row r="12" spans="1:13" ht="15">
      <c r="A12" s="1" t="s">
        <v>895</v>
      </c>
      <c r="B12" s="1">
        <f>VLOOKUP("Urawa Red Diamonds",参数总表!$F$5:$O$370,2,FALSE)</f>
        <v>4</v>
      </c>
      <c r="C12" s="1">
        <f>VLOOKUP("Urawa Red Diamonds",参数总表!$F$5:$O$370,3,FALSE)</f>
        <v>76</v>
      </c>
      <c r="D12" s="1">
        <f>VLOOKUP("Urawa Red Diamonds",参数总表!$F$5:$O$370,4,FALSE)</f>
        <v>72</v>
      </c>
      <c r="E12" s="1">
        <f>VLOOKUP("Urawa Red Diamonds",参数总表!$F$5:$O$370,5,FALSE)</f>
        <v>58</v>
      </c>
      <c r="F12" s="1">
        <f>VLOOKUP("Urawa Red Diamonds",参数总表!$F$5:$O$370,6,FALSE)</f>
        <v>67</v>
      </c>
      <c r="G12" s="1">
        <f>VLOOKUP("Urawa Red Diamonds",参数总表!$F$5:$O$370,7,FALSE)</f>
        <v>70</v>
      </c>
      <c r="H12" s="1">
        <f>VLOOKUP("Urawa Red Diamonds",参数总表!$F$5:$O$370,8,FALSE)</f>
        <v>72</v>
      </c>
      <c r="I12" s="1">
        <f>VLOOKUP("Urawa Red Diamonds",参数总表!$F$5:$O$370,9,FALSE)</f>
        <v>73</v>
      </c>
      <c r="J12" s="1">
        <f>VLOOKUP("Urawa Red Diamonds",参数总表!$F$5:$O$370,10,FALSE)</f>
        <v>72.900000000000006</v>
      </c>
      <c r="K12" s="1">
        <f>MATCH("Urawa Red Diamonds",参数总表!$F$5:$F$370,0)+4</f>
        <v>264</v>
      </c>
      <c r="L12" s="20" t="str">
        <f>IF(AND(B12=4,C12=76,D12=72,E12=58,F12=67,G12=70,H12=72),"通过","不一致")</f>
        <v>通过</v>
      </c>
      <c r="M12" s="1" t="s">
        <v>894</v>
      </c>
    </row>
    <row r="13" spans="1:13" ht="15">
      <c r="A13" s="1" t="s">
        <v>702</v>
      </c>
      <c r="B13" s="1">
        <f>VLOOKUP("River Plate",参数总表!$F$5:$O$370,2,FALSE)</f>
        <v>2</v>
      </c>
      <c r="C13" s="1">
        <f>VLOOKUP("River Plate",参数总表!$F$5:$O$370,3,FALSE)</f>
        <v>85</v>
      </c>
      <c r="D13" s="1">
        <f>VLOOKUP("River Plate",参数总表!$F$5:$O$370,4,FALSE)</f>
        <v>94</v>
      </c>
      <c r="E13" s="1">
        <f>VLOOKUP("River Plate",参数总表!$F$5:$O$370,5,FALSE)</f>
        <v>62</v>
      </c>
      <c r="F13" s="1">
        <f>VLOOKUP("River Plate",参数总表!$F$5:$O$370,6,FALSE)</f>
        <v>83</v>
      </c>
      <c r="G13" s="1">
        <f>VLOOKUP("River Plate",参数总表!$F$5:$O$370,7,FALSE)</f>
        <v>78</v>
      </c>
      <c r="H13" s="1">
        <f>VLOOKUP("River Plate",参数总表!$F$5:$O$370,8,FALSE)</f>
        <v>92</v>
      </c>
      <c r="I13" s="1">
        <f>VLOOKUP("River Plate",参数总表!$F$5:$O$370,9,FALSE)</f>
        <v>89.5</v>
      </c>
      <c r="J13" s="1">
        <f>VLOOKUP("River Plate",参数总表!$F$5:$O$370,10,FALSE)</f>
        <v>86.8</v>
      </c>
      <c r="K13" s="1">
        <f>MATCH("River Plate",参数总表!$F$5:$F$370,0)+4</f>
        <v>310</v>
      </c>
      <c r="L13" s="20" t="str">
        <f>IF(AND(B13=2,C13=85,D13=94,E13=62,F13=83,G13=78,H13=92),"通过","不一致")</f>
        <v>通过</v>
      </c>
      <c r="M13" s="1" t="s">
        <v>894</v>
      </c>
    </row>
    <row r="14" spans="1:13" ht="15">
      <c r="A14" s="1" t="s">
        <v>762</v>
      </c>
      <c r="B14" s="1">
        <f>VLOOKUP("上海东港",参数总表!$F$5:$O$370,2,FALSE)</f>
        <v>4</v>
      </c>
      <c r="C14" s="1">
        <f>VLOOKUP("上海东港",参数总表!$F$5:$O$370,3,FALSE)</f>
        <v>74</v>
      </c>
      <c r="D14" s="1">
        <f>VLOOKUP("上海东港",参数总表!$F$5:$O$370,4,FALSE)</f>
        <v>70</v>
      </c>
      <c r="E14" s="1">
        <f>VLOOKUP("上海东港",参数总表!$F$5:$O$370,5,FALSE)</f>
        <v>70</v>
      </c>
      <c r="F14" s="1">
        <f>VLOOKUP("上海东港",参数总表!$F$5:$O$370,6,FALSE)</f>
        <v>72</v>
      </c>
      <c r="G14" s="1">
        <f>VLOOKUP("上海东港",参数总表!$F$5:$O$370,7,FALSE)</f>
        <v>70</v>
      </c>
      <c r="H14" s="1">
        <f>VLOOKUP("上海东港",参数总表!$F$5:$O$370,8,FALSE)</f>
        <v>66</v>
      </c>
      <c r="I14" s="1">
        <f>VLOOKUP("上海东港",参数总表!$F$5:$O$370,9,FALSE)</f>
        <v>71.400000000000006</v>
      </c>
      <c r="J14" s="1">
        <f>VLOOKUP("上海东港",参数总表!$F$5:$O$370,10,FALSE)</f>
        <v>71.8</v>
      </c>
      <c r="K14" s="1">
        <f>MATCH("上海东港",参数总表!$F$5:$F$370,0)+4</f>
        <v>339</v>
      </c>
      <c r="L14" s="20" t="str">
        <f>IF(AND(B14=4,C14=74,D14=70,E14=70,F14=72,G14=70,H14=66),"通过","不一致")</f>
        <v>通过</v>
      </c>
      <c r="M14" s="1" t="s">
        <v>894</v>
      </c>
    </row>
    <row r="15" spans="1:13" ht="15">
      <c r="A15" s="1" t="s">
        <v>771</v>
      </c>
      <c r="B15" s="1">
        <f>VLOOKUP("武汉江城",参数总表!$F$5:$O$370,2,FALSE)</f>
        <v>4</v>
      </c>
      <c r="C15" s="1">
        <f>VLOOKUP("武汉江城",参数总表!$F$5:$O$370,3,FALSE)</f>
        <v>65</v>
      </c>
      <c r="D15" s="1">
        <f>VLOOKUP("武汉江城",参数总表!$F$5:$O$370,4,FALSE)</f>
        <v>63</v>
      </c>
      <c r="E15" s="1">
        <f>VLOOKUP("武汉江城",参数总表!$F$5:$O$370,5,FALSE)</f>
        <v>54</v>
      </c>
      <c r="F15" s="1">
        <f>VLOOKUP("武汉江城",参数总表!$F$5:$O$370,6,FALSE)</f>
        <v>56</v>
      </c>
      <c r="G15" s="1">
        <f>VLOOKUP("武汉江城",参数总表!$F$5:$O$370,7,FALSE)</f>
        <v>63</v>
      </c>
      <c r="H15" s="1">
        <f>VLOOKUP("武汉江城",参数总表!$F$5:$O$370,8,FALSE)</f>
        <v>78</v>
      </c>
      <c r="I15" s="1">
        <f>VLOOKUP("武汉江城",参数总表!$F$5:$O$370,9,FALSE)</f>
        <v>65.099999999999994</v>
      </c>
      <c r="J15" s="1">
        <f>VLOOKUP("武汉江城",参数总表!$F$5:$O$370,10,FALSE)</f>
        <v>67.099999999999994</v>
      </c>
      <c r="K15" s="1">
        <f>MATCH("武汉江城",参数总表!$F$5:$F$370,0)+4</f>
        <v>343</v>
      </c>
      <c r="L15" s="20" t="str">
        <f>IF(AND(B15=4,C15=65,D15=63,E15=54,F15=56,G15=63,H15=78),"通过","不一致")</f>
        <v>通过</v>
      </c>
      <c r="M15" s="1" t="s">
        <v>894</v>
      </c>
    </row>
    <row r="16" spans="1:13" ht="15">
      <c r="A16" s="1" t="s">
        <v>796</v>
      </c>
      <c r="B16" s="1">
        <f>VLOOKUP("广西联城",参数总表!$F$5:$O$370,2,FALSE)</f>
        <v>6</v>
      </c>
      <c r="C16" s="1">
        <f>VLOOKUP("广西联城",参数总表!$F$5:$O$370,3,FALSE)</f>
        <v>52</v>
      </c>
      <c r="D16" s="1">
        <f>VLOOKUP("广西联城",参数总表!$F$5:$O$370,4,FALSE)</f>
        <v>49</v>
      </c>
      <c r="E16" s="1">
        <f>VLOOKUP("广西联城",参数总表!$F$5:$O$370,5,FALSE)</f>
        <v>33</v>
      </c>
      <c r="F16" s="1">
        <f>VLOOKUP("广西联城",参数总表!$F$5:$O$370,6,FALSE)</f>
        <v>32</v>
      </c>
      <c r="G16" s="1">
        <f>VLOOKUP("广西联城",参数总表!$F$5:$O$370,7,FALSE)</f>
        <v>56</v>
      </c>
      <c r="H16" s="1">
        <f>VLOOKUP("广西联城",参数总表!$F$5:$O$370,8,FALSE)</f>
        <v>88</v>
      </c>
      <c r="I16" s="1">
        <f>VLOOKUP("广西联城",参数总表!$F$5:$O$370,9,FALSE)</f>
        <v>50.3</v>
      </c>
      <c r="J16" s="1">
        <f>VLOOKUP("广西联城",参数总表!$F$5:$O$370,10,FALSE)</f>
        <v>50.8</v>
      </c>
      <c r="K16" s="1">
        <f>MATCH("广西联城",参数总表!$F$5:$F$370,0)+4</f>
        <v>355</v>
      </c>
      <c r="L16" s="20" t="str">
        <f>IF(AND(B16=6,C16=52,D16=49,E16=33,F16=32,G16=56,H16=88),"通过","不一致")</f>
        <v>通过</v>
      </c>
      <c r="M16" s="1" t="s">
        <v>894</v>
      </c>
    </row>
    <row r="17" spans="1:13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>
      <c r="A20" s="19" t="s">
        <v>896</v>
      </c>
      <c r="B20" s="19" t="s">
        <v>897</v>
      </c>
      <c r="C20" s="19" t="s">
        <v>898</v>
      </c>
      <c r="D20" s="19" t="s">
        <v>899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 ht="15">
      <c r="A21" s="12" t="s">
        <v>900</v>
      </c>
      <c r="B21" s="12">
        <f>VLOOKUP("国际米兰",$A$5:$J$16,9,FALSE)</f>
        <v>97</v>
      </c>
      <c r="C21" s="12">
        <f>VLOOKUP("上海东港",$A$5:$J$16,9,FALSE)</f>
        <v>71.400000000000006</v>
      </c>
      <c r="D21" s="21" t="str">
        <f>IF(B21&gt;C21,"通过","未通过")</f>
        <v>通过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 ht="15">
      <c r="A22" s="12" t="s">
        <v>901</v>
      </c>
      <c r="B22" s="12">
        <f>VLOOKUP("上海东港",$A$5:$J$16,9,FALSE)</f>
        <v>71.400000000000006</v>
      </c>
      <c r="C22" s="12">
        <f>VLOOKUP("广西联城",$A$5:$J$16,9,FALSE)</f>
        <v>50.3</v>
      </c>
      <c r="D22" s="21" t="str">
        <f>IF(B22&gt;C22,"通过","未通过")</f>
        <v>通过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 ht="15">
      <c r="A23" s="12" t="s">
        <v>902</v>
      </c>
      <c r="B23" s="12">
        <f>VLOOKUP("Ajax",$A$5:$J$16,4,FALSE)</f>
        <v>96</v>
      </c>
      <c r="C23" s="12">
        <f>VLOOKUP("Brighton &amp; Hove Albion",$A$5:$J$16,4,FALSE)</f>
        <v>86</v>
      </c>
      <c r="D23" s="21" t="str">
        <f>IF(B23&gt;C23,"通过","未通过")</f>
        <v>通过</v>
      </c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12" t="s">
        <v>903</v>
      </c>
      <c r="B24" s="12">
        <f>VLOOKUP("Brighton &amp; Hove Albion",$A$5:$J$16,5,FALSE)</f>
        <v>88</v>
      </c>
      <c r="C24" s="12">
        <f>VLOOKUP("Ajax",$A$5:$J$16,5,FALSE)</f>
        <v>68</v>
      </c>
      <c r="D24" s="21" t="str">
        <f>IF(B24&gt;C24,"通过","未通过")</f>
        <v>通过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 ht="15">
      <c r="A25" s="12" t="s">
        <v>904</v>
      </c>
      <c r="B25" s="12">
        <f>VLOOKUP("国际米兰",$A$5:$J$16,7,FALSE)</f>
        <v>86</v>
      </c>
      <c r="C25" s="12">
        <f>VLOOKUP("Ajax",$A$5:$J$16,7,FALSE)</f>
        <v>78</v>
      </c>
      <c r="D25" s="21" t="str">
        <f>IF(B25&gt;C25,"通过","未通过")</f>
        <v>通过</v>
      </c>
      <c r="E25" s="1"/>
      <c r="F25" s="1"/>
      <c r="G25" s="1"/>
      <c r="H25" s="1"/>
      <c r="I25" s="1"/>
      <c r="J25" s="1"/>
      <c r="K25" s="1"/>
      <c r="L25" s="1"/>
      <c r="M25" s="1"/>
    </row>
  </sheetData>
  <mergeCells count="2">
    <mergeCell ref="A1:M1"/>
    <mergeCell ref="A2:M2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showGridLines="0" workbookViewId="0"/>
  </sheetViews>
  <sheetFormatPr baseColWidth="10" defaultColWidth="8.83203125" defaultRowHeight="14"/>
  <cols>
    <col min="1" max="1" width="17" customWidth="1"/>
    <col min="2" max="2" width="12" customWidth="1"/>
    <col min="3" max="3" width="34" customWidth="1"/>
    <col min="4" max="4" width="95" customWidth="1"/>
  </cols>
  <sheetData>
    <row r="1" spans="1:4" ht="34" customHeight="1">
      <c r="A1" s="22" t="s">
        <v>905</v>
      </c>
      <c r="B1" s="23"/>
      <c r="C1" s="23"/>
      <c r="D1" s="23"/>
    </row>
    <row r="2" spans="1:4" ht="24" customHeight="1">
      <c r="A2" s="24" t="s">
        <v>906</v>
      </c>
      <c r="B2" s="23"/>
      <c r="C2" s="23"/>
      <c r="D2" s="23"/>
    </row>
    <row r="3" spans="1:4" ht="15">
      <c r="A3" s="1"/>
      <c r="B3" s="1"/>
      <c r="C3" s="1"/>
      <c r="D3" s="1"/>
    </row>
    <row r="4" spans="1:4" ht="15">
      <c r="A4" s="2" t="s">
        <v>19</v>
      </c>
      <c r="B4" s="2" t="s">
        <v>4</v>
      </c>
      <c r="C4" s="2" t="s">
        <v>5</v>
      </c>
      <c r="D4" s="2" t="s">
        <v>907</v>
      </c>
    </row>
    <row r="5" spans="1:4" ht="15">
      <c r="A5" s="1" t="s">
        <v>26</v>
      </c>
      <c r="B5" s="1" t="s">
        <v>21</v>
      </c>
      <c r="C5" s="1" t="s">
        <v>908</v>
      </c>
      <c r="D5" s="7" t="s">
        <v>909</v>
      </c>
    </row>
    <row r="6" spans="1:4" ht="15">
      <c r="A6" s="1" t="s">
        <v>74</v>
      </c>
      <c r="B6" s="1" t="s">
        <v>21</v>
      </c>
      <c r="C6" s="1" t="s">
        <v>910</v>
      </c>
      <c r="D6" s="7" t="s">
        <v>911</v>
      </c>
    </row>
    <row r="7" spans="1:4" ht="15">
      <c r="A7" s="1" t="s">
        <v>127</v>
      </c>
      <c r="B7" s="1" t="s">
        <v>123</v>
      </c>
      <c r="C7" s="1" t="s">
        <v>912</v>
      </c>
      <c r="D7" s="7" t="s">
        <v>913</v>
      </c>
    </row>
    <row r="8" spans="1:4" ht="15">
      <c r="A8" s="1" t="s">
        <v>173</v>
      </c>
      <c r="B8" s="1" t="s">
        <v>123</v>
      </c>
      <c r="C8" s="1" t="s">
        <v>914</v>
      </c>
      <c r="D8" s="7" t="s">
        <v>915</v>
      </c>
    </row>
    <row r="9" spans="1:4" ht="15">
      <c r="A9" s="1" t="s">
        <v>221</v>
      </c>
      <c r="B9" s="1" t="s">
        <v>218</v>
      </c>
      <c r="C9" s="1" t="s">
        <v>916</v>
      </c>
      <c r="D9" s="7" t="s">
        <v>917</v>
      </c>
    </row>
    <row r="10" spans="1:4" ht="15">
      <c r="A10" s="1" t="s">
        <v>265</v>
      </c>
      <c r="B10" s="1" t="s">
        <v>218</v>
      </c>
      <c r="C10" s="1" t="s">
        <v>918</v>
      </c>
      <c r="D10" s="7" t="s">
        <v>919</v>
      </c>
    </row>
    <row r="11" spans="1:4" ht="15">
      <c r="A11" s="1" t="s">
        <v>308</v>
      </c>
      <c r="B11" s="1" t="s">
        <v>305</v>
      </c>
      <c r="C11" s="1" t="s">
        <v>920</v>
      </c>
      <c r="D11" s="7" t="s">
        <v>921</v>
      </c>
    </row>
    <row r="12" spans="1:4" ht="15">
      <c r="A12" s="1" t="s">
        <v>349</v>
      </c>
      <c r="B12" s="1" t="s">
        <v>305</v>
      </c>
      <c r="C12" s="1" t="s">
        <v>922</v>
      </c>
      <c r="D12" s="7" t="s">
        <v>923</v>
      </c>
    </row>
    <row r="13" spans="1:4" ht="15">
      <c r="A13" s="1" t="s">
        <v>388</v>
      </c>
      <c r="B13" s="1" t="s">
        <v>385</v>
      </c>
      <c r="C13" s="1" t="s">
        <v>924</v>
      </c>
      <c r="D13" s="7" t="s">
        <v>925</v>
      </c>
    </row>
    <row r="14" spans="1:4" ht="15">
      <c r="A14" s="1" t="s">
        <v>430</v>
      </c>
      <c r="B14" s="1" t="s">
        <v>385</v>
      </c>
      <c r="C14" s="1" t="s">
        <v>926</v>
      </c>
      <c r="D14" s="7" t="s">
        <v>927</v>
      </c>
    </row>
    <row r="15" spans="1:4" ht="15">
      <c r="A15" s="1" t="s">
        <v>470</v>
      </c>
      <c r="B15" s="1" t="s">
        <v>466</v>
      </c>
      <c r="C15" s="1" t="s">
        <v>928</v>
      </c>
      <c r="D15" s="7" t="s">
        <v>929</v>
      </c>
    </row>
    <row r="16" spans="1:4" ht="15">
      <c r="A16" s="1" t="s">
        <v>509</v>
      </c>
      <c r="B16" s="1" t="s">
        <v>506</v>
      </c>
      <c r="C16" s="1" t="s">
        <v>930</v>
      </c>
      <c r="D16" s="7" t="s">
        <v>931</v>
      </c>
    </row>
    <row r="17" spans="1:4" ht="15">
      <c r="A17" s="1" t="s">
        <v>548</v>
      </c>
      <c r="B17" s="1" t="s">
        <v>545</v>
      </c>
      <c r="C17" s="1" t="s">
        <v>932</v>
      </c>
      <c r="D17" s="7" t="s">
        <v>933</v>
      </c>
    </row>
    <row r="18" spans="1:4" ht="15">
      <c r="A18" s="1" t="s">
        <v>587</v>
      </c>
      <c r="B18" s="1" t="s">
        <v>584</v>
      </c>
      <c r="C18" s="1" t="s">
        <v>934</v>
      </c>
      <c r="D18" s="7" t="s">
        <v>935</v>
      </c>
    </row>
    <row r="19" spans="1:4" ht="15">
      <c r="A19" s="1" t="s">
        <v>630</v>
      </c>
      <c r="B19" s="1" t="s">
        <v>627</v>
      </c>
      <c r="C19" s="1" t="s">
        <v>936</v>
      </c>
      <c r="D19" s="7" t="s">
        <v>937</v>
      </c>
    </row>
    <row r="20" spans="1:4" ht="15">
      <c r="A20" s="1" t="s">
        <v>657</v>
      </c>
      <c r="B20" s="1" t="s">
        <v>654</v>
      </c>
      <c r="C20" s="1" t="s">
        <v>938</v>
      </c>
      <c r="D20" s="7" t="s">
        <v>939</v>
      </c>
    </row>
    <row r="21" spans="1:4" ht="30">
      <c r="A21" s="1" t="s">
        <v>700</v>
      </c>
      <c r="B21" s="1" t="s">
        <v>697</v>
      </c>
      <c r="C21" s="1" t="s">
        <v>940</v>
      </c>
      <c r="D21" s="7" t="s">
        <v>941</v>
      </c>
    </row>
    <row r="22" spans="1:4" ht="15">
      <c r="A22" s="1" t="s">
        <v>763</v>
      </c>
      <c r="B22" s="1" t="s">
        <v>760</v>
      </c>
      <c r="C22" s="1" t="s">
        <v>942</v>
      </c>
      <c r="D22" s="7" t="s">
        <v>943</v>
      </c>
    </row>
  </sheetData>
  <mergeCells count="2">
    <mergeCell ref="A1:D1"/>
    <mergeCell ref="A2:D2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参数总表</vt:lpstr>
      <vt:lpstr>规则与说明</vt:lpstr>
      <vt:lpstr>联赛汇总</vt:lpstr>
      <vt:lpstr>样板验收</vt:lpstr>
      <vt:lpstr>数据来源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知乎</cp:lastModifiedBy>
  <dcterms:modified xsi:type="dcterms:W3CDTF">2026-08-13T10:10:48Z</dcterms:modified>
</cp:coreProperties>
</file>